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Desktop\"/>
    </mc:Choice>
  </mc:AlternateContent>
  <xr:revisionPtr revIDLastSave="0" documentId="13_ncr:1_{1FEA8BE2-6565-4366-BFCC-A1CAEFFC477C}" xr6:coauthVersionLast="47" xr6:coauthVersionMax="47" xr10:uidLastSave="{00000000-0000-0000-0000-000000000000}"/>
  <bookViews>
    <workbookView xWindow="-120" yWindow="-120" windowWidth="29040" windowHeight="15720" xr2:uid="{3A019EF3-A6F6-42DE-9DB7-D2CFC81B6E4C}"/>
  </bookViews>
  <sheets>
    <sheet name="Planilha1" sheetId="1" r:id="rId1"/>
    <sheet name="Planilha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B3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R39" i="1" s="1"/>
  <c r="S26" i="1"/>
  <c r="T26" i="1"/>
  <c r="U26" i="1"/>
  <c r="B2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B8" i="1"/>
  <c r="B17" i="1"/>
  <c r="AE6" i="2"/>
  <c r="AD6" i="2"/>
  <c r="AC6" i="2"/>
  <c r="AB6" i="2"/>
  <c r="AF5" i="2"/>
  <c r="AE5" i="2"/>
  <c r="AD5" i="2"/>
  <c r="AC5" i="2"/>
  <c r="AB5" i="2"/>
  <c r="AB4" i="2"/>
  <c r="AF3" i="2"/>
  <c r="AE3" i="2"/>
  <c r="AD3" i="2"/>
  <c r="AC3" i="2"/>
  <c r="AB3" i="2"/>
  <c r="AE2" i="2"/>
  <c r="AD2" i="2"/>
  <c r="AB2" i="2"/>
  <c r="U35" i="2"/>
  <c r="T35" i="2"/>
  <c r="S35" i="2"/>
  <c r="R35" i="2"/>
  <c r="Q35" i="2"/>
  <c r="P35" i="2"/>
  <c r="O35" i="2"/>
  <c r="N35" i="2"/>
  <c r="M35" i="2"/>
  <c r="I35" i="2"/>
  <c r="H35" i="2"/>
  <c r="G35" i="2"/>
  <c r="F35" i="2"/>
  <c r="E35" i="2"/>
  <c r="D35" i="2"/>
  <c r="C35" i="2"/>
  <c r="B35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U8" i="2"/>
  <c r="U38" i="2" s="1"/>
  <c r="AF6" i="2" s="1"/>
  <c r="T8" i="2"/>
  <c r="T38" i="2" s="1"/>
  <c r="S8" i="2"/>
  <c r="S38" i="2" s="1"/>
  <c r="R8" i="2"/>
  <c r="R38" i="2" s="1"/>
  <c r="Q8" i="2"/>
  <c r="Q38" i="2" s="1"/>
  <c r="P8" i="2"/>
  <c r="P38" i="2" s="1"/>
  <c r="O8" i="2"/>
  <c r="O38" i="2" s="1"/>
  <c r="N8" i="2"/>
  <c r="N38" i="2" s="1"/>
  <c r="M38" i="2"/>
  <c r="AF4" i="2" s="1"/>
  <c r="L8" i="2"/>
  <c r="L38" i="2" s="1"/>
  <c r="AE4" i="2" s="1"/>
  <c r="K8" i="2"/>
  <c r="K38" i="2" s="1"/>
  <c r="AD4" i="2" s="1"/>
  <c r="J8" i="2"/>
  <c r="J38" i="2" s="1"/>
  <c r="AC4" i="2" s="1"/>
  <c r="I8" i="2"/>
  <c r="I38" i="2" s="1"/>
  <c r="H8" i="2"/>
  <c r="H38" i="2" s="1"/>
  <c r="G8" i="2"/>
  <c r="G38" i="2" s="1"/>
  <c r="F8" i="2"/>
  <c r="F38" i="2" s="1"/>
  <c r="E38" i="2"/>
  <c r="AF2" i="2" s="1"/>
  <c r="D8" i="2"/>
  <c r="D38" i="2" s="1"/>
  <c r="C8" i="2"/>
  <c r="C38" i="2" s="1"/>
  <c r="B8" i="2"/>
  <c r="B38" i="2" s="1"/>
  <c r="AC2" i="2" s="1"/>
  <c r="H39" i="1" l="1"/>
  <c r="B39" i="1"/>
  <c r="F39" i="1"/>
  <c r="M39" i="1"/>
  <c r="E39" i="1"/>
  <c r="P39" i="1"/>
  <c r="N39" i="1"/>
  <c r="U39" i="1"/>
  <c r="J39" i="1"/>
  <c r="T39" i="1"/>
  <c r="L39" i="1"/>
  <c r="D39" i="1"/>
  <c r="S39" i="1"/>
  <c r="K39" i="1"/>
  <c r="C39" i="1"/>
  <c r="Q39" i="1"/>
  <c r="I39" i="1"/>
  <c r="O39" i="1"/>
  <c r="G39" i="1"/>
</calcChain>
</file>

<file path=xl/sharedStrings.xml><?xml version="1.0" encoding="utf-8"?>
<sst xmlns="http://schemas.openxmlformats.org/spreadsheetml/2006/main" count="282" uniqueCount="26">
  <si>
    <t>N</t>
  </si>
  <si>
    <t>C</t>
  </si>
  <si>
    <t xml:space="preserve">E </t>
  </si>
  <si>
    <t>F</t>
  </si>
  <si>
    <t>ChatGPT</t>
  </si>
  <si>
    <t>Grok</t>
  </si>
  <si>
    <t>DeepSeek</t>
  </si>
  <si>
    <t>Gemini</t>
  </si>
  <si>
    <t>Copilot</t>
  </si>
  <si>
    <t>Total</t>
  </si>
  <si>
    <t>Gabriel</t>
  </si>
  <si>
    <t>Eduardo</t>
  </si>
  <si>
    <t>Neutralidade</t>
  </si>
  <si>
    <t>Coesão</t>
  </si>
  <si>
    <t>Equilíbrio</t>
  </si>
  <si>
    <t>Fontes</t>
  </si>
  <si>
    <t>Ana</t>
  </si>
  <si>
    <t>E</t>
  </si>
  <si>
    <t>Gabi</t>
  </si>
  <si>
    <t>-</t>
  </si>
  <si>
    <t>A Partir das outras três notas, cria-se uma quarta, resultado da média das outras</t>
  </si>
  <si>
    <t>Avaliação Integrante 1</t>
  </si>
  <si>
    <t>Avaliação Integrante 2</t>
  </si>
  <si>
    <t>Avaliação Integrante 3</t>
  </si>
  <si>
    <t>Avaliação Integrante 4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</si>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</sst>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0"/>
      <name val="Calibri"/>
      <family val="2"/>
    </font>
    <font>
      <sz val="16"/>
      <color theme="1"/>
      <name val="Calibri"/>
      <family val="2"/>
    </font>
    <font>
      <sz val="16"/>
      <color theme="0"/>
      <name val="Calibri"/>
      <family val="2"/>
    </font>
    <font>
      <b/>
      <sz val="16"/>
      <color rgb="FFFFFFFF"/>
      <name val="Calibri"/>
      <family val="2"/>
    </font>
    <font>
      <sz val="16"/>
      <name val="Calibri"/>
      <family val="2"/>
    </font>
    <font>
      <sz val="16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595959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595959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1" tint="0.34998626667073579"/>
        <bgColor rgb="FF595959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3">
    <xf numFmtId="0" fontId="0" fillId="0" borderId="0"/>
    <xf numFmtId="0" fontId="3" fillId="0" borderId="0"/>
    <xf numFmtId="43" fontId="7" fillId="0" borderId="0" applyFont="0" applyFill="0" applyBorder="0" applyAlignment="0" applyProtection="0"/>
  </cellStyleXfs>
  <cellXfs count="13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3" borderId="0" xfId="1" applyFont="1" applyFill="1" applyAlignment="1">
      <alignment horizontal="center"/>
    </xf>
    <xf numFmtId="0" fontId="5" fillId="3" borderId="16" xfId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4" fillId="4" borderId="17" xfId="1" applyFont="1" applyFill="1" applyBorder="1" applyAlignment="1">
      <alignment horizontal="center"/>
    </xf>
    <xf numFmtId="0" fontId="4" fillId="4" borderId="18" xfId="1" applyFont="1" applyFill="1" applyBorder="1" applyAlignment="1">
      <alignment horizontal="center"/>
    </xf>
    <xf numFmtId="0" fontId="4" fillId="4" borderId="19" xfId="1" applyFont="1" applyFill="1" applyBorder="1" applyAlignment="1">
      <alignment horizontal="center"/>
    </xf>
    <xf numFmtId="0" fontId="4" fillId="4" borderId="20" xfId="1" applyFont="1" applyFill="1" applyBorder="1" applyAlignment="1">
      <alignment horizontal="center"/>
    </xf>
    <xf numFmtId="0" fontId="4" fillId="4" borderId="0" xfId="1" applyFont="1" applyFill="1" applyAlignment="1">
      <alignment horizontal="center"/>
    </xf>
    <xf numFmtId="0" fontId="4" fillId="4" borderId="16" xfId="1" applyFont="1" applyFill="1" applyBorder="1" applyAlignment="1">
      <alignment horizontal="center"/>
    </xf>
    <xf numFmtId="0" fontId="4" fillId="4" borderId="21" xfId="1" applyFont="1" applyFill="1" applyBorder="1" applyAlignment="1">
      <alignment horizontal="center"/>
    </xf>
    <xf numFmtId="0" fontId="4" fillId="4" borderId="22" xfId="1" applyFont="1" applyFill="1" applyBorder="1" applyAlignment="1">
      <alignment horizontal="center"/>
    </xf>
    <xf numFmtId="0" fontId="4" fillId="4" borderId="15" xfId="1" applyFont="1" applyFill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5" fillId="6" borderId="0" xfId="1" applyFont="1" applyFill="1" applyAlignment="1">
      <alignment horizontal="center"/>
    </xf>
    <xf numFmtId="0" fontId="4" fillId="7" borderId="18" xfId="1" applyFont="1" applyFill="1" applyBorder="1" applyAlignment="1">
      <alignment horizontal="center"/>
    </xf>
    <xf numFmtId="0" fontId="4" fillId="7" borderId="0" xfId="1" applyFont="1" applyFill="1" applyAlignment="1">
      <alignment horizontal="center"/>
    </xf>
    <xf numFmtId="0" fontId="4" fillId="7" borderId="22" xfId="1" applyFont="1" applyFill="1" applyBorder="1" applyAlignment="1">
      <alignment horizontal="center"/>
    </xf>
    <xf numFmtId="0" fontId="4" fillId="5" borderId="22" xfId="1" applyFont="1" applyFill="1" applyBorder="1" applyAlignment="1">
      <alignment horizontal="center"/>
    </xf>
    <xf numFmtId="0" fontId="0" fillId="5" borderId="0" xfId="0" applyFill="1"/>
    <xf numFmtId="0" fontId="1" fillId="5" borderId="4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4" fillId="7" borderId="17" xfId="1" applyFont="1" applyFill="1" applyBorder="1" applyAlignment="1">
      <alignment horizontal="center"/>
    </xf>
    <xf numFmtId="0" fontId="4" fillId="7" borderId="20" xfId="1" applyFont="1" applyFill="1" applyBorder="1" applyAlignment="1">
      <alignment horizontal="center"/>
    </xf>
    <xf numFmtId="0" fontId="4" fillId="7" borderId="21" xfId="1" applyFont="1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4" fillId="8" borderId="22" xfId="1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5" fillId="10" borderId="16" xfId="1" applyFont="1" applyFill="1" applyBorder="1" applyAlignment="1">
      <alignment horizontal="center"/>
    </xf>
    <xf numFmtId="0" fontId="4" fillId="11" borderId="18" xfId="1" applyFont="1" applyFill="1" applyBorder="1" applyAlignment="1">
      <alignment horizontal="center"/>
    </xf>
    <xf numFmtId="0" fontId="4" fillId="11" borderId="0" xfId="1" applyFont="1" applyFill="1" applyAlignment="1">
      <alignment horizontal="center"/>
    </xf>
    <xf numFmtId="0" fontId="4" fillId="11" borderId="22" xfId="1" applyFont="1" applyFill="1" applyBorder="1" applyAlignment="1">
      <alignment horizontal="center"/>
    </xf>
    <xf numFmtId="0" fontId="4" fillId="9" borderId="22" xfId="1" applyFont="1" applyFill="1" applyBorder="1" applyAlignment="1">
      <alignment horizontal="center"/>
    </xf>
    <xf numFmtId="0" fontId="0" fillId="9" borderId="0" xfId="0" applyFill="1"/>
    <xf numFmtId="0" fontId="1" fillId="9" borderId="4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5" fillId="10" borderId="0" xfId="1" applyFont="1" applyFill="1" applyAlignment="1">
      <alignment horizontal="center"/>
    </xf>
    <xf numFmtId="0" fontId="4" fillId="11" borderId="17" xfId="1" applyFont="1" applyFill="1" applyBorder="1" applyAlignment="1">
      <alignment horizontal="center"/>
    </xf>
    <xf numFmtId="0" fontId="4" fillId="11" borderId="20" xfId="1" applyFont="1" applyFill="1" applyBorder="1" applyAlignment="1">
      <alignment horizontal="center"/>
    </xf>
    <xf numFmtId="0" fontId="4" fillId="11" borderId="21" xfId="1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43" fontId="0" fillId="0" borderId="0" xfId="2" applyFont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5" fillId="3" borderId="13" xfId="1" applyFont="1" applyFill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16" xfId="1" applyFont="1" applyFill="1" applyBorder="1" applyAlignment="1">
      <alignment horizontal="center" vertical="center"/>
    </xf>
    <xf numFmtId="0" fontId="1" fillId="3" borderId="15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/>
    </xf>
    <xf numFmtId="0" fontId="0" fillId="8" borderId="0" xfId="0" applyFill="1" applyAlignment="1">
      <alignment horizontal="center" wrapText="1"/>
    </xf>
    <xf numFmtId="0" fontId="0" fillId="0" borderId="0" xfId="0" applyFill="1"/>
    <xf numFmtId="0" fontId="8" fillId="2" borderId="0" xfId="0" applyFont="1" applyFill="1" applyAlignment="1">
      <alignment horizontal="center" vertical="center" textRotation="90" wrapText="1"/>
    </xf>
    <xf numFmtId="0" fontId="8" fillId="0" borderId="0" xfId="0" applyFont="1" applyFill="1" applyAlignment="1">
      <alignment textRotation="90" wrapText="1"/>
    </xf>
    <xf numFmtId="0" fontId="8" fillId="0" borderId="0" xfId="0" applyFont="1" applyFill="1" applyAlignment="1">
      <alignment vertical="center" textRotation="90" wrapText="1"/>
    </xf>
    <xf numFmtId="43" fontId="9" fillId="0" borderId="25" xfId="2" applyFont="1" applyFill="1" applyBorder="1" applyAlignment="1">
      <alignment horizontal="center" vertical="center"/>
    </xf>
    <xf numFmtId="43" fontId="9" fillId="0" borderId="26" xfId="2" applyFont="1" applyFill="1" applyBorder="1" applyAlignment="1">
      <alignment horizontal="center" vertical="center"/>
    </xf>
    <xf numFmtId="43" fontId="9" fillId="0" borderId="27" xfId="2" applyFont="1" applyFill="1" applyBorder="1" applyAlignment="1">
      <alignment horizontal="center" vertical="center"/>
    </xf>
    <xf numFmtId="43" fontId="8" fillId="2" borderId="9" xfId="2" applyFont="1" applyFill="1" applyBorder="1" applyAlignment="1">
      <alignment horizontal="center" vertical="center"/>
    </xf>
    <xf numFmtId="43" fontId="8" fillId="2" borderId="10" xfId="2" applyFont="1" applyFill="1" applyBorder="1" applyAlignment="1">
      <alignment horizontal="center" vertical="center"/>
    </xf>
    <xf numFmtId="43" fontId="8" fillId="2" borderId="11" xfId="2" applyFont="1" applyFill="1" applyBorder="1" applyAlignment="1">
      <alignment horizontal="center" vertical="center"/>
    </xf>
    <xf numFmtId="43" fontId="8" fillId="2" borderId="4" xfId="2" applyFont="1" applyFill="1" applyBorder="1" applyAlignment="1">
      <alignment horizontal="center" vertical="center"/>
    </xf>
    <xf numFmtId="43" fontId="8" fillId="2" borderId="0" xfId="2" applyFont="1" applyFill="1" applyAlignment="1">
      <alignment horizontal="center" vertical="center"/>
    </xf>
    <xf numFmtId="43" fontId="8" fillId="2" borderId="5" xfId="2" applyFont="1" applyFill="1" applyBorder="1" applyAlignment="1">
      <alignment horizontal="center" vertical="center"/>
    </xf>
    <xf numFmtId="43" fontId="9" fillId="0" borderId="1" xfId="2" applyFont="1" applyFill="1" applyBorder="1" applyAlignment="1">
      <alignment horizontal="center" vertical="center"/>
    </xf>
    <xf numFmtId="43" fontId="9" fillId="0" borderId="2" xfId="2" applyFont="1" applyFill="1" applyBorder="1" applyAlignment="1">
      <alignment horizontal="center" vertical="center"/>
    </xf>
    <xf numFmtId="43" fontId="9" fillId="0" borderId="3" xfId="2" applyFont="1" applyFill="1" applyBorder="1" applyAlignment="1">
      <alignment horizontal="center" vertical="center"/>
    </xf>
    <xf numFmtId="43" fontId="9" fillId="0" borderId="4" xfId="2" applyFont="1" applyFill="1" applyBorder="1" applyAlignment="1">
      <alignment horizontal="center" vertical="center"/>
    </xf>
    <xf numFmtId="43" fontId="9" fillId="0" borderId="0" xfId="2" applyFont="1" applyFill="1" applyAlignment="1">
      <alignment horizontal="center" vertical="center"/>
    </xf>
    <xf numFmtId="43" fontId="9" fillId="0" borderId="5" xfId="2" applyFont="1" applyFill="1" applyBorder="1" applyAlignment="1">
      <alignment horizontal="center" vertical="center"/>
    </xf>
    <xf numFmtId="43" fontId="9" fillId="0" borderId="6" xfId="2" applyFont="1" applyFill="1" applyBorder="1" applyAlignment="1">
      <alignment horizontal="center" vertical="center"/>
    </xf>
    <xf numFmtId="43" fontId="9" fillId="0" borderId="7" xfId="2" applyFont="1" applyFill="1" applyBorder="1" applyAlignment="1">
      <alignment horizontal="center" vertical="center"/>
    </xf>
    <xf numFmtId="43" fontId="9" fillId="0" borderId="8" xfId="2" applyFont="1" applyFill="1" applyBorder="1" applyAlignment="1">
      <alignment horizontal="center" vertical="center"/>
    </xf>
    <xf numFmtId="43" fontId="9" fillId="0" borderId="10" xfId="2" applyFont="1" applyFill="1" applyBorder="1" applyAlignment="1">
      <alignment horizontal="center" vertical="center"/>
    </xf>
    <xf numFmtId="43" fontId="9" fillId="0" borderId="11" xfId="2" applyFont="1" applyFill="1" applyBorder="1" applyAlignment="1">
      <alignment horizontal="center" vertical="center"/>
    </xf>
    <xf numFmtId="43" fontId="9" fillId="0" borderId="9" xfId="2" applyFont="1" applyFill="1" applyBorder="1" applyAlignment="1">
      <alignment horizontal="center" vertical="center"/>
    </xf>
    <xf numFmtId="43" fontId="10" fillId="2" borderId="5" xfId="2" applyFont="1" applyFill="1" applyBorder="1" applyAlignment="1">
      <alignment horizontal="center" vertical="center"/>
    </xf>
    <xf numFmtId="43" fontId="11" fillId="3" borderId="12" xfId="2" applyFont="1" applyFill="1" applyBorder="1" applyAlignment="1">
      <alignment horizontal="center" vertical="center"/>
    </xf>
    <xf numFmtId="43" fontId="12" fillId="0" borderId="13" xfId="2" applyFont="1" applyBorder="1" applyAlignment="1">
      <alignment horizontal="center" vertical="center"/>
    </xf>
    <xf numFmtId="43" fontId="12" fillId="0" borderId="14" xfId="2" applyFont="1" applyBorder="1" applyAlignment="1">
      <alignment horizontal="center" vertical="center"/>
    </xf>
    <xf numFmtId="43" fontId="11" fillId="3" borderId="13" xfId="2" applyFont="1" applyFill="1" applyBorder="1" applyAlignment="1">
      <alignment horizontal="center" vertical="center"/>
    </xf>
    <xf numFmtId="43" fontId="11" fillId="12" borderId="0" xfId="2" applyFont="1" applyFill="1" applyAlignment="1">
      <alignment horizontal="center" vertical="center"/>
    </xf>
    <xf numFmtId="43" fontId="11" fillId="12" borderId="16" xfId="2" applyFont="1" applyFill="1" applyBorder="1" applyAlignment="1">
      <alignment horizontal="center" vertical="center"/>
    </xf>
    <xf numFmtId="43" fontId="13" fillId="0" borderId="17" xfId="2" applyFont="1" applyFill="1" applyBorder="1" applyAlignment="1">
      <alignment horizontal="center" vertical="center"/>
    </xf>
    <xf numFmtId="43" fontId="13" fillId="0" borderId="18" xfId="2" applyFont="1" applyFill="1" applyBorder="1" applyAlignment="1">
      <alignment horizontal="center" vertical="center"/>
    </xf>
    <xf numFmtId="43" fontId="13" fillId="0" borderId="19" xfId="2" applyFont="1" applyFill="1" applyBorder="1" applyAlignment="1">
      <alignment horizontal="center" vertical="center"/>
    </xf>
    <xf numFmtId="43" fontId="13" fillId="0" borderId="20" xfId="2" applyFont="1" applyFill="1" applyBorder="1" applyAlignment="1">
      <alignment horizontal="center" vertical="center"/>
    </xf>
    <xf numFmtId="43" fontId="13" fillId="0" borderId="0" xfId="2" applyFont="1" applyFill="1" applyAlignment="1">
      <alignment horizontal="center" vertical="center"/>
    </xf>
    <xf numFmtId="43" fontId="13" fillId="0" borderId="16" xfId="2" applyFont="1" applyFill="1" applyBorder="1" applyAlignment="1">
      <alignment horizontal="center" vertical="center"/>
    </xf>
    <xf numFmtId="43" fontId="13" fillId="0" borderId="21" xfId="2" applyFont="1" applyFill="1" applyBorder="1" applyAlignment="1">
      <alignment horizontal="center" vertical="center"/>
    </xf>
    <xf numFmtId="43" fontId="13" fillId="0" borderId="22" xfId="2" applyFont="1" applyFill="1" applyBorder="1" applyAlignment="1">
      <alignment horizontal="center" vertical="center"/>
    </xf>
    <xf numFmtId="43" fontId="13" fillId="0" borderId="15" xfId="2" applyFont="1" applyFill="1" applyBorder="1" applyAlignment="1">
      <alignment horizontal="center" vertical="center"/>
    </xf>
    <xf numFmtId="43" fontId="13" fillId="0" borderId="24" xfId="2" applyFont="1" applyFill="1" applyBorder="1" applyAlignment="1">
      <alignment horizontal="center" vertical="center"/>
    </xf>
    <xf numFmtId="43" fontId="13" fillId="0" borderId="23" xfId="2" applyFont="1" applyFill="1" applyBorder="1" applyAlignment="1">
      <alignment horizontal="center" vertical="center"/>
    </xf>
    <xf numFmtId="43" fontId="0" fillId="0" borderId="0" xfId="2" applyFont="1" applyFill="1" applyAlignment="1">
      <alignment horizontal="center" vertical="center"/>
    </xf>
    <xf numFmtId="43" fontId="0" fillId="0" borderId="0" xfId="2" applyFont="1" applyFill="1"/>
    <xf numFmtId="49" fontId="8" fillId="0" borderId="5" xfId="2" applyNumberFormat="1" applyFont="1" applyFill="1" applyBorder="1" applyAlignment="1">
      <alignment horizontal="center" vertical="center"/>
    </xf>
    <xf numFmtId="49" fontId="8" fillId="0" borderId="8" xfId="2" applyNumberFormat="1" applyFont="1" applyFill="1" applyBorder="1" applyAlignment="1">
      <alignment horizontal="center" vertical="center"/>
    </xf>
    <xf numFmtId="49" fontId="8" fillId="2" borderId="0" xfId="2" applyNumberFormat="1" applyFont="1" applyFill="1" applyAlignment="1">
      <alignment horizontal="center" vertical="center"/>
    </xf>
    <xf numFmtId="49" fontId="9" fillId="0" borderId="0" xfId="2" applyNumberFormat="1" applyFont="1" applyFill="1" applyAlignment="1">
      <alignment horizontal="center" vertical="center"/>
    </xf>
    <xf numFmtId="49" fontId="8" fillId="0" borderId="16" xfId="2" applyNumberFormat="1" applyFont="1" applyFill="1" applyBorder="1" applyAlignment="1">
      <alignment horizontal="center" vertical="center"/>
    </xf>
    <xf numFmtId="49" fontId="8" fillId="0" borderId="15" xfId="2" applyNumberFormat="1" applyFont="1" applyFill="1" applyBorder="1" applyAlignment="1">
      <alignment horizontal="center" vertical="center"/>
    </xf>
    <xf numFmtId="49" fontId="11" fillId="3" borderId="0" xfId="2" applyNumberFormat="1" applyFont="1" applyFill="1" applyAlignment="1">
      <alignment horizontal="center" vertical="center"/>
    </xf>
    <xf numFmtId="49" fontId="0" fillId="0" borderId="0" xfId="2" applyNumberFormat="1" applyFont="1" applyFill="1" applyAlignment="1">
      <alignment horizontal="center" vertical="center"/>
    </xf>
    <xf numFmtId="49" fontId="0" fillId="0" borderId="0" xfId="2" applyNumberFormat="1" applyFont="1" applyAlignment="1">
      <alignment horizontal="center" vertical="center"/>
    </xf>
  </cellXfs>
  <cellStyles count="3">
    <cellStyle name="Normal" xfId="0" builtinId="0"/>
    <cellStyle name="Normal 2" xfId="1" xr:uid="{58AD8C00-44C3-4F54-BF49-CC08669F66E2}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Planilha2!$AB$2</c:f>
              <c:strCache>
                <c:ptCount val="1"/>
                <c:pt idx="0">
                  <c:v>ChatGPT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Planilha2!$AC$1:$AF$1</c:f>
              <c:strCache>
                <c:ptCount val="4"/>
                <c:pt idx="0">
                  <c:v>Neutralidade</c:v>
                </c:pt>
                <c:pt idx="1">
                  <c:v>Coesão</c:v>
                </c:pt>
                <c:pt idx="2">
                  <c:v>Equilíbrio</c:v>
                </c:pt>
                <c:pt idx="3">
                  <c:v>Fontes</c:v>
                </c:pt>
              </c:strCache>
            </c:strRef>
          </c:cat>
          <c:val>
            <c:numRef>
              <c:f>Planilha2!$AC$2:$AF$2</c:f>
              <c:numCache>
                <c:formatCode>General</c:formatCode>
                <c:ptCount val="4"/>
                <c:pt idx="0">
                  <c:v>3.55</c:v>
                </c:pt>
                <c:pt idx="1">
                  <c:v>4.3499999999999996</c:v>
                </c:pt>
                <c:pt idx="2">
                  <c:v>3.85</c:v>
                </c:pt>
                <c:pt idx="3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56-446A-9063-794B3F3CB9A1}"/>
            </c:ext>
          </c:extLst>
        </c:ser>
        <c:ser>
          <c:idx val="1"/>
          <c:order val="1"/>
          <c:tx>
            <c:strRef>
              <c:f>Planilha2!$AB$3</c:f>
              <c:strCache>
                <c:ptCount val="1"/>
                <c:pt idx="0">
                  <c:v>Grok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Planilha2!$AC$1:$AF$1</c:f>
              <c:strCache>
                <c:ptCount val="4"/>
                <c:pt idx="0">
                  <c:v>Neutralidade</c:v>
                </c:pt>
                <c:pt idx="1">
                  <c:v>Coesão</c:v>
                </c:pt>
                <c:pt idx="2">
                  <c:v>Equilíbrio</c:v>
                </c:pt>
                <c:pt idx="3">
                  <c:v>Fontes</c:v>
                </c:pt>
              </c:strCache>
            </c:strRef>
          </c:cat>
          <c:val>
            <c:numRef>
              <c:f>Planilha2!$AC$3:$AF$3</c:f>
              <c:numCache>
                <c:formatCode>General</c:formatCode>
                <c:ptCount val="4"/>
                <c:pt idx="0">
                  <c:v>4.3</c:v>
                </c:pt>
                <c:pt idx="1">
                  <c:v>4.6500000000000004</c:v>
                </c:pt>
                <c:pt idx="2">
                  <c:v>4.2</c:v>
                </c:pt>
                <c:pt idx="3">
                  <c:v>4.1500000000000004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56-446A-9063-794B3F3CB9A1}"/>
            </c:ext>
          </c:extLst>
        </c:ser>
        <c:ser>
          <c:idx val="2"/>
          <c:order val="2"/>
          <c:tx>
            <c:strRef>
              <c:f>Planilha2!$AB$4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Planilha2!$AC$1:$AF$1</c:f>
              <c:strCache>
                <c:ptCount val="4"/>
                <c:pt idx="0">
                  <c:v>Neutralidade</c:v>
                </c:pt>
                <c:pt idx="1">
                  <c:v>Coesão</c:v>
                </c:pt>
                <c:pt idx="2">
                  <c:v>Equilíbrio</c:v>
                </c:pt>
                <c:pt idx="3">
                  <c:v>Fontes</c:v>
                </c:pt>
              </c:strCache>
            </c:strRef>
          </c:cat>
          <c:val>
            <c:numRef>
              <c:f>Planilha2!$AC$4:$AF$4</c:f>
              <c:numCache>
                <c:formatCode>General</c:formatCode>
                <c:ptCount val="4"/>
                <c:pt idx="0">
                  <c:v>4.4000000000000004</c:v>
                </c:pt>
                <c:pt idx="1">
                  <c:v>4.5999999999999996</c:v>
                </c:pt>
                <c:pt idx="2">
                  <c:v>4.25</c:v>
                </c:pt>
                <c:pt idx="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56-446A-9063-794B3F3CB9A1}"/>
            </c:ext>
          </c:extLst>
        </c:ser>
        <c:ser>
          <c:idx val="3"/>
          <c:order val="3"/>
          <c:tx>
            <c:strRef>
              <c:f>Planilha2!$AB$5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Planilha2!$AC$1:$AF$1</c:f>
              <c:strCache>
                <c:ptCount val="4"/>
                <c:pt idx="0">
                  <c:v>Neutralidade</c:v>
                </c:pt>
                <c:pt idx="1">
                  <c:v>Coesão</c:v>
                </c:pt>
                <c:pt idx="2">
                  <c:v>Equilíbrio</c:v>
                </c:pt>
                <c:pt idx="3">
                  <c:v>Fontes</c:v>
                </c:pt>
              </c:strCache>
            </c:strRef>
          </c:cat>
          <c:val>
            <c:numRef>
              <c:f>Planilha2!$AC$5:$AF$5</c:f>
              <c:numCache>
                <c:formatCode>General</c:formatCode>
                <c:ptCount val="4"/>
                <c:pt idx="0">
                  <c:v>4.3</c:v>
                </c:pt>
                <c:pt idx="1">
                  <c:v>4.3499999999999996</c:v>
                </c:pt>
                <c:pt idx="2">
                  <c:v>4</c:v>
                </c:pt>
                <c:pt idx="3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56-446A-9063-794B3F3CB9A1}"/>
            </c:ext>
          </c:extLst>
        </c:ser>
        <c:ser>
          <c:idx val="4"/>
          <c:order val="4"/>
          <c:tx>
            <c:strRef>
              <c:f>Planilha2!$AB$6</c:f>
              <c:strCache>
                <c:ptCount val="1"/>
                <c:pt idx="0">
                  <c:v>Copilot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Planilha2!$AC$1:$AF$1</c:f>
              <c:strCache>
                <c:ptCount val="4"/>
                <c:pt idx="0">
                  <c:v>Neutralidade</c:v>
                </c:pt>
                <c:pt idx="1">
                  <c:v>Coesão</c:v>
                </c:pt>
                <c:pt idx="2">
                  <c:v>Equilíbrio</c:v>
                </c:pt>
                <c:pt idx="3">
                  <c:v>Fontes</c:v>
                </c:pt>
              </c:strCache>
            </c:strRef>
          </c:cat>
          <c:val>
            <c:numRef>
              <c:f>Planilha2!$AC$6:$AF$6</c:f>
              <c:numCache>
                <c:formatCode>General</c:formatCode>
                <c:ptCount val="4"/>
                <c:pt idx="0">
                  <c:v>3.95</c:v>
                </c:pt>
                <c:pt idx="1">
                  <c:v>4.25</c:v>
                </c:pt>
                <c:pt idx="2">
                  <c:v>3.95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56-446A-9063-794B3F3CB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17903"/>
        <c:axId val="9818383"/>
      </c:lineChart>
      <c:catAx>
        <c:axId val="981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18383"/>
        <c:crosses val="autoZero"/>
        <c:auto val="1"/>
        <c:lblAlgn val="ctr"/>
        <c:lblOffset val="100"/>
        <c:noMultiLvlLbl val="0"/>
      </c:catAx>
      <c:valAx>
        <c:axId val="981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1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104775</xdr:colOff>
      <xdr:row>7</xdr:row>
      <xdr:rowOff>109536</xdr:rowOff>
    </xdr:from>
    <xdr:to>
      <xdr:col>33</xdr:col>
      <xdr:colOff>123825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CD65BF-3ADC-7BDC-9D1F-B2D93E89E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0E710-47D7-44D5-9D13-25C069DA2FDF}">
  <dimension ref="A1:AA44"/>
  <sheetViews>
    <sheetView tabSelected="1" zoomScaleNormal="100" workbookViewId="0">
      <selection sqref="A1:A2"/>
    </sheetView>
  </sheetViews>
  <sheetFormatPr defaultRowHeight="28.5" customHeight="1" x14ac:dyDescent="0.25"/>
  <cols>
    <col min="1" max="1" width="9.85546875" style="134" bestFit="1" customWidth="1"/>
    <col min="2" max="21" width="8.85546875" style="125" bestFit="1" customWidth="1"/>
    <col min="22" max="16384" width="9.140625" style="81"/>
  </cols>
  <sheetData>
    <row r="1" spans="1:27" customFormat="1" ht="28.5" customHeight="1" x14ac:dyDescent="0.25">
      <c r="A1" s="126"/>
      <c r="B1" s="88" t="s">
        <v>4</v>
      </c>
      <c r="C1" s="89"/>
      <c r="D1" s="89"/>
      <c r="E1" s="90"/>
      <c r="F1" s="88" t="s">
        <v>5</v>
      </c>
      <c r="G1" s="89"/>
      <c r="H1" s="89"/>
      <c r="I1" s="90"/>
      <c r="J1" s="88" t="s">
        <v>6</v>
      </c>
      <c r="K1" s="89"/>
      <c r="L1" s="89"/>
      <c r="M1" s="90"/>
      <c r="N1" s="88" t="s">
        <v>7</v>
      </c>
      <c r="O1" s="89"/>
      <c r="P1" s="89"/>
      <c r="Q1" s="90"/>
      <c r="R1" s="88" t="s">
        <v>8</v>
      </c>
      <c r="S1" s="89"/>
      <c r="T1" s="89"/>
      <c r="U1" s="90"/>
      <c r="W1" s="82" t="s">
        <v>21</v>
      </c>
      <c r="X1" s="83"/>
      <c r="Y1" s="83"/>
    </row>
    <row r="2" spans="1:27" customFormat="1" ht="28.5" customHeight="1" x14ac:dyDescent="0.25">
      <c r="A2" s="127"/>
      <c r="B2" s="91" t="s">
        <v>0</v>
      </c>
      <c r="C2" s="92" t="s">
        <v>1</v>
      </c>
      <c r="D2" s="92" t="s">
        <v>2</v>
      </c>
      <c r="E2" s="93" t="s">
        <v>3</v>
      </c>
      <c r="F2" s="91" t="s">
        <v>0</v>
      </c>
      <c r="G2" s="92" t="s">
        <v>1</v>
      </c>
      <c r="H2" s="92" t="s">
        <v>2</v>
      </c>
      <c r="I2" s="93" t="s">
        <v>3</v>
      </c>
      <c r="J2" s="91" t="s">
        <v>0</v>
      </c>
      <c r="K2" s="92" t="s">
        <v>1</v>
      </c>
      <c r="L2" s="92" t="s">
        <v>2</v>
      </c>
      <c r="M2" s="93" t="s">
        <v>3</v>
      </c>
      <c r="N2" s="91" t="s">
        <v>0</v>
      </c>
      <c r="O2" s="92" t="s">
        <v>1</v>
      </c>
      <c r="P2" s="92" t="s">
        <v>2</v>
      </c>
      <c r="Q2" s="93" t="s">
        <v>3</v>
      </c>
      <c r="R2" s="91" t="s">
        <v>0</v>
      </c>
      <c r="S2" s="92" t="s">
        <v>1</v>
      </c>
      <c r="T2" s="92" t="s">
        <v>2</v>
      </c>
      <c r="U2" s="93" t="s">
        <v>3</v>
      </c>
      <c r="W2" s="82"/>
      <c r="X2" s="83"/>
      <c r="Y2" s="83"/>
      <c r="Z2" s="68"/>
      <c r="AA2" s="68"/>
    </row>
    <row r="3" spans="1:27" customFormat="1" ht="28.5" customHeight="1" x14ac:dyDescent="0.25">
      <c r="A3" s="128">
        <v>1</v>
      </c>
      <c r="B3" s="94">
        <v>5</v>
      </c>
      <c r="C3" s="95">
        <v>5</v>
      </c>
      <c r="D3" s="95">
        <v>2</v>
      </c>
      <c r="E3" s="95">
        <v>3</v>
      </c>
      <c r="F3" s="94">
        <v>5</v>
      </c>
      <c r="G3" s="95">
        <v>5</v>
      </c>
      <c r="H3" s="95">
        <v>3</v>
      </c>
      <c r="I3" s="95">
        <v>5</v>
      </c>
      <c r="J3" s="94">
        <v>4</v>
      </c>
      <c r="K3" s="95">
        <v>3</v>
      </c>
      <c r="L3" s="95">
        <v>4</v>
      </c>
      <c r="M3" s="95">
        <v>3</v>
      </c>
      <c r="N3" s="94">
        <v>5</v>
      </c>
      <c r="O3" s="95">
        <v>5</v>
      </c>
      <c r="P3" s="95">
        <v>4</v>
      </c>
      <c r="Q3" s="95">
        <v>5</v>
      </c>
      <c r="R3" s="94">
        <v>4</v>
      </c>
      <c r="S3" s="95">
        <v>5</v>
      </c>
      <c r="T3" s="95">
        <v>3</v>
      </c>
      <c r="U3" s="96">
        <v>4</v>
      </c>
      <c r="W3" s="82"/>
      <c r="X3" s="83"/>
      <c r="Y3" s="83"/>
      <c r="Z3" s="68"/>
      <c r="AA3" s="68"/>
    </row>
    <row r="4" spans="1:27" customFormat="1" ht="28.5" customHeight="1" x14ac:dyDescent="0.25">
      <c r="A4" s="128">
        <v>2</v>
      </c>
      <c r="B4" s="97">
        <v>2</v>
      </c>
      <c r="C4" s="98">
        <v>5</v>
      </c>
      <c r="D4" s="98">
        <v>4</v>
      </c>
      <c r="E4" s="98">
        <v>3</v>
      </c>
      <c r="F4" s="97">
        <v>5</v>
      </c>
      <c r="G4" s="98">
        <v>5</v>
      </c>
      <c r="H4" s="98">
        <v>5</v>
      </c>
      <c r="I4" s="98">
        <v>4</v>
      </c>
      <c r="J4" s="97">
        <v>5</v>
      </c>
      <c r="K4" s="98">
        <v>5</v>
      </c>
      <c r="L4" s="98">
        <v>5</v>
      </c>
      <c r="M4" s="98">
        <v>4</v>
      </c>
      <c r="N4" s="97">
        <v>5</v>
      </c>
      <c r="O4" s="98">
        <v>5</v>
      </c>
      <c r="P4" s="98">
        <v>4</v>
      </c>
      <c r="Q4" s="98">
        <v>3</v>
      </c>
      <c r="R4" s="97">
        <v>5</v>
      </c>
      <c r="S4" s="98">
        <v>5</v>
      </c>
      <c r="T4" s="98">
        <v>4</v>
      </c>
      <c r="U4" s="99">
        <v>3</v>
      </c>
      <c r="W4" s="82"/>
      <c r="X4" s="83"/>
      <c r="Y4" s="83"/>
      <c r="Z4" s="68"/>
      <c r="AA4" s="68"/>
    </row>
    <row r="5" spans="1:27" customFormat="1" ht="28.5" customHeight="1" x14ac:dyDescent="0.25">
      <c r="A5" s="128">
        <v>3</v>
      </c>
      <c r="B5" s="97">
        <v>4</v>
      </c>
      <c r="C5" s="98">
        <v>5</v>
      </c>
      <c r="D5" s="98">
        <v>5</v>
      </c>
      <c r="E5" s="98">
        <v>3</v>
      </c>
      <c r="F5" s="97">
        <v>5</v>
      </c>
      <c r="G5" s="98">
        <v>5</v>
      </c>
      <c r="H5" s="98">
        <v>5</v>
      </c>
      <c r="I5" s="98">
        <v>5</v>
      </c>
      <c r="J5" s="97">
        <v>5</v>
      </c>
      <c r="K5" s="98">
        <v>4</v>
      </c>
      <c r="L5" s="98">
        <v>5</v>
      </c>
      <c r="M5" s="98">
        <v>3</v>
      </c>
      <c r="N5" s="97">
        <v>5</v>
      </c>
      <c r="O5" s="98">
        <v>5</v>
      </c>
      <c r="P5" s="98">
        <v>3</v>
      </c>
      <c r="Q5" s="98">
        <v>4</v>
      </c>
      <c r="R5" s="97">
        <v>5</v>
      </c>
      <c r="S5" s="98">
        <v>5</v>
      </c>
      <c r="T5" s="98">
        <v>5</v>
      </c>
      <c r="U5" s="99">
        <v>3</v>
      </c>
      <c r="W5" s="82"/>
      <c r="X5" s="83"/>
      <c r="Y5" s="83"/>
      <c r="Z5" s="68"/>
      <c r="AA5" s="68"/>
    </row>
    <row r="6" spans="1:27" customFormat="1" ht="28.5" customHeight="1" x14ac:dyDescent="0.25">
      <c r="A6" s="128">
        <v>4</v>
      </c>
      <c r="B6" s="97">
        <v>5</v>
      </c>
      <c r="C6" s="98">
        <v>5</v>
      </c>
      <c r="D6" s="98">
        <v>5</v>
      </c>
      <c r="E6" s="98">
        <v>2</v>
      </c>
      <c r="F6" s="97">
        <v>4</v>
      </c>
      <c r="G6" s="98">
        <v>5</v>
      </c>
      <c r="H6" s="98">
        <v>4</v>
      </c>
      <c r="I6" s="98">
        <v>5</v>
      </c>
      <c r="J6" s="97">
        <v>3</v>
      </c>
      <c r="K6" s="98">
        <v>5</v>
      </c>
      <c r="L6" s="98">
        <v>3</v>
      </c>
      <c r="M6" s="98">
        <v>2</v>
      </c>
      <c r="N6" s="97">
        <v>4</v>
      </c>
      <c r="O6" s="98">
        <v>5</v>
      </c>
      <c r="P6" s="98">
        <v>5</v>
      </c>
      <c r="Q6" s="98">
        <v>2</v>
      </c>
      <c r="R6" s="97">
        <v>5</v>
      </c>
      <c r="S6" s="98">
        <v>5</v>
      </c>
      <c r="T6" s="98">
        <v>5</v>
      </c>
      <c r="U6" s="99">
        <v>4</v>
      </c>
      <c r="W6" s="82"/>
      <c r="X6" s="83"/>
      <c r="Y6" s="83"/>
      <c r="Z6" s="68"/>
      <c r="AA6" s="68"/>
    </row>
    <row r="7" spans="1:27" customFormat="1" ht="28.5" customHeight="1" x14ac:dyDescent="0.25">
      <c r="A7" s="128">
        <v>5</v>
      </c>
      <c r="B7" s="100">
        <v>2</v>
      </c>
      <c r="C7" s="101">
        <v>3</v>
      </c>
      <c r="D7" s="101">
        <v>3</v>
      </c>
      <c r="E7" s="101">
        <v>3</v>
      </c>
      <c r="F7" s="100">
        <v>3</v>
      </c>
      <c r="G7" s="101">
        <v>5</v>
      </c>
      <c r="H7" s="101">
        <v>3</v>
      </c>
      <c r="I7" s="101">
        <v>3</v>
      </c>
      <c r="J7" s="100">
        <v>5</v>
      </c>
      <c r="K7" s="101">
        <v>5</v>
      </c>
      <c r="L7" s="101">
        <v>5</v>
      </c>
      <c r="M7" s="101">
        <v>4</v>
      </c>
      <c r="N7" s="100">
        <v>3</v>
      </c>
      <c r="O7" s="101">
        <v>5</v>
      </c>
      <c r="P7" s="101">
        <v>3</v>
      </c>
      <c r="Q7" s="101">
        <v>3</v>
      </c>
      <c r="R7" s="100">
        <v>2</v>
      </c>
      <c r="S7" s="101">
        <v>3</v>
      </c>
      <c r="T7" s="101">
        <v>3</v>
      </c>
      <c r="U7" s="102">
        <v>2</v>
      </c>
      <c r="W7" s="82"/>
      <c r="X7" s="83"/>
      <c r="Y7" s="83"/>
    </row>
    <row r="8" spans="1:27" customFormat="1" ht="28.5" customHeight="1" x14ac:dyDescent="0.25">
      <c r="A8" s="128" t="s">
        <v>9</v>
      </c>
      <c r="B8" s="103">
        <f>SUM(B3:B7)/5</f>
        <v>3.6</v>
      </c>
      <c r="C8" s="103">
        <f t="shared" ref="C8:U8" si="0">SUM(C3:C7)/5</f>
        <v>4.5999999999999996</v>
      </c>
      <c r="D8" s="103">
        <f t="shared" si="0"/>
        <v>3.8</v>
      </c>
      <c r="E8" s="104">
        <f t="shared" si="0"/>
        <v>2.8</v>
      </c>
      <c r="F8" s="103">
        <f t="shared" si="0"/>
        <v>4.4000000000000004</v>
      </c>
      <c r="G8" s="103">
        <f t="shared" si="0"/>
        <v>5</v>
      </c>
      <c r="H8" s="103">
        <f t="shared" si="0"/>
        <v>4</v>
      </c>
      <c r="I8" s="104">
        <f t="shared" si="0"/>
        <v>4.4000000000000004</v>
      </c>
      <c r="J8" s="103">
        <f t="shared" si="0"/>
        <v>4.4000000000000004</v>
      </c>
      <c r="K8" s="103">
        <f t="shared" si="0"/>
        <v>4.4000000000000004</v>
      </c>
      <c r="L8" s="103">
        <f t="shared" si="0"/>
        <v>4.4000000000000004</v>
      </c>
      <c r="M8" s="103">
        <f t="shared" si="0"/>
        <v>3.2</v>
      </c>
      <c r="N8" s="105">
        <f t="shared" si="0"/>
        <v>4.4000000000000004</v>
      </c>
      <c r="O8" s="103">
        <f t="shared" si="0"/>
        <v>5</v>
      </c>
      <c r="P8" s="103">
        <f t="shared" si="0"/>
        <v>3.8</v>
      </c>
      <c r="Q8" s="103">
        <f t="shared" si="0"/>
        <v>3.4</v>
      </c>
      <c r="R8" s="105">
        <f t="shared" si="0"/>
        <v>4.2</v>
      </c>
      <c r="S8" s="103">
        <f t="shared" si="0"/>
        <v>4.5999999999999996</v>
      </c>
      <c r="T8" s="103">
        <f t="shared" si="0"/>
        <v>4</v>
      </c>
      <c r="U8" s="103">
        <f t="shared" si="0"/>
        <v>3.2</v>
      </c>
      <c r="V8" s="4"/>
      <c r="W8" s="82"/>
      <c r="X8" s="83"/>
      <c r="Y8" s="83"/>
    </row>
    <row r="9" spans="1:27" ht="28.5" customHeight="1" x14ac:dyDescent="0.25">
      <c r="A9" s="12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</row>
    <row r="10" spans="1:27" customFormat="1" ht="28.5" customHeight="1" x14ac:dyDescent="0.25">
      <c r="A10" s="126"/>
      <c r="B10" s="88" t="s">
        <v>4</v>
      </c>
      <c r="C10" s="89"/>
      <c r="D10" s="89"/>
      <c r="E10" s="90"/>
      <c r="F10" s="88" t="s">
        <v>5</v>
      </c>
      <c r="G10" s="89"/>
      <c r="H10" s="89"/>
      <c r="I10" s="90"/>
      <c r="J10" s="88" t="s">
        <v>6</v>
      </c>
      <c r="K10" s="89"/>
      <c r="L10" s="89"/>
      <c r="M10" s="90"/>
      <c r="N10" s="88" t="s">
        <v>7</v>
      </c>
      <c r="O10" s="89"/>
      <c r="P10" s="89"/>
      <c r="Q10" s="90"/>
      <c r="R10" s="88" t="s">
        <v>8</v>
      </c>
      <c r="S10" s="89"/>
      <c r="T10" s="89"/>
      <c r="U10" s="90"/>
      <c r="W10" s="82" t="s">
        <v>22</v>
      </c>
      <c r="X10" s="81"/>
      <c r="Y10" s="81"/>
    </row>
    <row r="11" spans="1:27" customFormat="1" ht="28.5" customHeight="1" x14ac:dyDescent="0.25">
      <c r="A11" s="127"/>
      <c r="B11" s="91" t="s">
        <v>0</v>
      </c>
      <c r="C11" s="92" t="s">
        <v>1</v>
      </c>
      <c r="D11" s="92" t="s">
        <v>2</v>
      </c>
      <c r="E11" s="93" t="s">
        <v>3</v>
      </c>
      <c r="F11" s="91" t="s">
        <v>0</v>
      </c>
      <c r="G11" s="92" t="s">
        <v>1</v>
      </c>
      <c r="H11" s="92" t="s">
        <v>2</v>
      </c>
      <c r="I11" s="93" t="s">
        <v>3</v>
      </c>
      <c r="J11" s="91" t="s">
        <v>0</v>
      </c>
      <c r="K11" s="92" t="s">
        <v>1</v>
      </c>
      <c r="L11" s="92" t="s">
        <v>2</v>
      </c>
      <c r="M11" s="93" t="s">
        <v>3</v>
      </c>
      <c r="N11" s="91" t="s">
        <v>0</v>
      </c>
      <c r="O11" s="92" t="s">
        <v>1</v>
      </c>
      <c r="P11" s="92" t="s">
        <v>2</v>
      </c>
      <c r="Q11" s="93" t="s">
        <v>3</v>
      </c>
      <c r="R11" s="91" t="s">
        <v>0</v>
      </c>
      <c r="S11" s="92" t="s">
        <v>1</v>
      </c>
      <c r="T11" s="92" t="s">
        <v>2</v>
      </c>
      <c r="U11" s="93" t="s">
        <v>3</v>
      </c>
      <c r="W11" s="82"/>
      <c r="X11" s="81"/>
      <c r="Y11" s="81"/>
    </row>
    <row r="12" spans="1:27" customFormat="1" ht="28.5" customHeight="1" x14ac:dyDescent="0.25">
      <c r="A12" s="128">
        <v>1</v>
      </c>
      <c r="B12" s="94">
        <v>4</v>
      </c>
      <c r="C12" s="95">
        <v>5</v>
      </c>
      <c r="D12" s="95">
        <v>4</v>
      </c>
      <c r="E12" s="95">
        <v>2</v>
      </c>
      <c r="F12" s="94">
        <v>5</v>
      </c>
      <c r="G12" s="95">
        <v>5</v>
      </c>
      <c r="H12" s="95">
        <v>4</v>
      </c>
      <c r="I12" s="95">
        <v>5</v>
      </c>
      <c r="J12" s="94">
        <v>5</v>
      </c>
      <c r="K12" s="95">
        <v>3</v>
      </c>
      <c r="L12" s="95">
        <v>5</v>
      </c>
      <c r="M12" s="95">
        <v>3</v>
      </c>
      <c r="N12" s="94">
        <v>4</v>
      </c>
      <c r="O12" s="95">
        <v>4</v>
      </c>
      <c r="P12" s="95">
        <v>4</v>
      </c>
      <c r="Q12" s="95">
        <v>3</v>
      </c>
      <c r="R12" s="94">
        <v>5</v>
      </c>
      <c r="S12" s="95">
        <v>4</v>
      </c>
      <c r="T12" s="95">
        <v>4</v>
      </c>
      <c r="U12" s="96">
        <v>3</v>
      </c>
      <c r="W12" s="82"/>
      <c r="X12" s="81"/>
      <c r="Y12" s="81"/>
    </row>
    <row r="13" spans="1:27" customFormat="1" ht="28.5" customHeight="1" x14ac:dyDescent="0.25">
      <c r="A13" s="128">
        <v>2</v>
      </c>
      <c r="B13" s="97">
        <v>1</v>
      </c>
      <c r="C13" s="98">
        <v>3</v>
      </c>
      <c r="D13" s="98">
        <v>2</v>
      </c>
      <c r="E13" s="98">
        <v>2</v>
      </c>
      <c r="F13" s="97">
        <v>3</v>
      </c>
      <c r="G13" s="98">
        <v>4</v>
      </c>
      <c r="H13" s="98">
        <v>4</v>
      </c>
      <c r="I13" s="98">
        <v>3</v>
      </c>
      <c r="J13" s="97">
        <v>5</v>
      </c>
      <c r="K13" s="98">
        <v>5</v>
      </c>
      <c r="L13" s="98">
        <v>5</v>
      </c>
      <c r="M13" s="98">
        <v>4</v>
      </c>
      <c r="N13" s="97">
        <v>5</v>
      </c>
      <c r="O13" s="98">
        <v>3</v>
      </c>
      <c r="P13" s="98">
        <v>4</v>
      </c>
      <c r="Q13" s="98">
        <v>2</v>
      </c>
      <c r="R13" s="97">
        <v>4</v>
      </c>
      <c r="S13" s="98">
        <v>3</v>
      </c>
      <c r="T13" s="98">
        <v>4</v>
      </c>
      <c r="U13" s="99">
        <v>3</v>
      </c>
      <c r="W13" s="82"/>
      <c r="X13" s="81"/>
      <c r="Y13" s="81"/>
    </row>
    <row r="14" spans="1:27" customFormat="1" ht="28.5" customHeight="1" x14ac:dyDescent="0.25">
      <c r="A14" s="128">
        <v>3</v>
      </c>
      <c r="B14" s="97">
        <v>5</v>
      </c>
      <c r="C14" s="98">
        <v>5</v>
      </c>
      <c r="D14" s="98">
        <v>5</v>
      </c>
      <c r="E14" s="98">
        <v>4</v>
      </c>
      <c r="F14" s="97">
        <v>5</v>
      </c>
      <c r="G14" s="98">
        <v>5</v>
      </c>
      <c r="H14" s="98">
        <v>5</v>
      </c>
      <c r="I14" s="98">
        <v>5</v>
      </c>
      <c r="J14" s="97">
        <v>4</v>
      </c>
      <c r="K14" s="98">
        <v>3</v>
      </c>
      <c r="L14" s="98">
        <v>4</v>
      </c>
      <c r="M14" s="98">
        <v>2</v>
      </c>
      <c r="N14" s="97">
        <v>5</v>
      </c>
      <c r="O14" s="98">
        <v>4</v>
      </c>
      <c r="P14" s="98">
        <v>4</v>
      </c>
      <c r="Q14" s="98">
        <v>4</v>
      </c>
      <c r="R14" s="97">
        <v>5</v>
      </c>
      <c r="S14" s="98">
        <v>5</v>
      </c>
      <c r="T14" s="98">
        <v>5</v>
      </c>
      <c r="U14" s="99">
        <v>5</v>
      </c>
      <c r="W14" s="82"/>
      <c r="X14" s="81"/>
      <c r="Y14" s="81"/>
    </row>
    <row r="15" spans="1:27" customFormat="1" ht="28.5" customHeight="1" x14ac:dyDescent="0.25">
      <c r="A15" s="128">
        <v>4</v>
      </c>
      <c r="B15" s="97">
        <v>4</v>
      </c>
      <c r="C15" s="98">
        <v>4</v>
      </c>
      <c r="D15" s="98">
        <v>5</v>
      </c>
      <c r="E15" s="98">
        <v>2</v>
      </c>
      <c r="F15" s="97">
        <v>5</v>
      </c>
      <c r="G15" s="98">
        <v>5</v>
      </c>
      <c r="H15" s="98">
        <v>5</v>
      </c>
      <c r="I15" s="98">
        <v>5</v>
      </c>
      <c r="J15" s="97">
        <v>4</v>
      </c>
      <c r="K15" s="98">
        <v>5</v>
      </c>
      <c r="L15" s="98">
        <v>4</v>
      </c>
      <c r="M15" s="98">
        <v>3</v>
      </c>
      <c r="N15" s="97">
        <v>4</v>
      </c>
      <c r="O15" s="98">
        <v>5</v>
      </c>
      <c r="P15" s="98">
        <v>4</v>
      </c>
      <c r="Q15" s="98">
        <v>3</v>
      </c>
      <c r="R15" s="97">
        <v>4</v>
      </c>
      <c r="S15" s="98">
        <v>4</v>
      </c>
      <c r="T15" s="98">
        <v>4</v>
      </c>
      <c r="U15" s="99">
        <v>3</v>
      </c>
      <c r="W15" s="82"/>
      <c r="X15" s="81"/>
      <c r="Y15" s="81"/>
    </row>
    <row r="16" spans="1:27" customFormat="1" ht="28.5" customHeight="1" x14ac:dyDescent="0.25">
      <c r="A16" s="128">
        <v>5</v>
      </c>
      <c r="B16" s="100">
        <v>2</v>
      </c>
      <c r="C16" s="101">
        <v>2</v>
      </c>
      <c r="D16" s="101">
        <v>3</v>
      </c>
      <c r="E16" s="101">
        <v>1</v>
      </c>
      <c r="F16" s="100">
        <v>2</v>
      </c>
      <c r="G16" s="101">
        <v>2</v>
      </c>
      <c r="H16" s="101">
        <v>3</v>
      </c>
      <c r="I16" s="101">
        <v>1</v>
      </c>
      <c r="J16" s="100">
        <v>4</v>
      </c>
      <c r="K16" s="101">
        <v>4</v>
      </c>
      <c r="L16" s="101">
        <v>4</v>
      </c>
      <c r="M16" s="101">
        <v>3</v>
      </c>
      <c r="N16" s="100">
        <v>3</v>
      </c>
      <c r="O16" s="101">
        <v>3</v>
      </c>
      <c r="P16" s="101">
        <v>4</v>
      </c>
      <c r="Q16" s="101">
        <v>2</v>
      </c>
      <c r="R16" s="100">
        <v>4</v>
      </c>
      <c r="S16" s="101">
        <v>2</v>
      </c>
      <c r="T16" s="101">
        <v>4</v>
      </c>
      <c r="U16" s="102">
        <v>1</v>
      </c>
      <c r="W16" s="82"/>
      <c r="X16" s="81"/>
      <c r="Y16" s="81"/>
    </row>
    <row r="17" spans="1:25" customFormat="1" ht="28.5" customHeight="1" x14ac:dyDescent="0.25">
      <c r="A17" s="128" t="s">
        <v>9</v>
      </c>
      <c r="B17" s="103">
        <f>SUM(B12:B16)/5</f>
        <v>3.2</v>
      </c>
      <c r="C17" s="103">
        <f t="shared" ref="C17:U17" si="1">SUM(C12:C16)/5</f>
        <v>3.8</v>
      </c>
      <c r="D17" s="103">
        <f t="shared" si="1"/>
        <v>3.8</v>
      </c>
      <c r="E17" s="104">
        <f t="shared" si="1"/>
        <v>2.2000000000000002</v>
      </c>
      <c r="F17" s="103">
        <f t="shared" si="1"/>
        <v>4</v>
      </c>
      <c r="G17" s="103">
        <f t="shared" si="1"/>
        <v>4.2</v>
      </c>
      <c r="H17" s="103">
        <f t="shared" si="1"/>
        <v>4.2</v>
      </c>
      <c r="I17" s="103">
        <f t="shared" si="1"/>
        <v>3.8</v>
      </c>
      <c r="J17" s="103">
        <f t="shared" si="1"/>
        <v>4.4000000000000004</v>
      </c>
      <c r="K17" s="103">
        <f t="shared" si="1"/>
        <v>4</v>
      </c>
      <c r="L17" s="103">
        <f t="shared" si="1"/>
        <v>4.4000000000000004</v>
      </c>
      <c r="M17" s="104">
        <f t="shared" si="1"/>
        <v>3</v>
      </c>
      <c r="N17" s="103">
        <f t="shared" si="1"/>
        <v>4.2</v>
      </c>
      <c r="O17" s="103">
        <f t="shared" si="1"/>
        <v>3.8</v>
      </c>
      <c r="P17" s="103">
        <f t="shared" si="1"/>
        <v>4</v>
      </c>
      <c r="Q17" s="103">
        <f t="shared" si="1"/>
        <v>2.8</v>
      </c>
      <c r="R17" s="105">
        <f t="shared" si="1"/>
        <v>4.4000000000000004</v>
      </c>
      <c r="S17" s="103">
        <f t="shared" si="1"/>
        <v>3.6</v>
      </c>
      <c r="T17" s="103">
        <f t="shared" si="1"/>
        <v>4.2</v>
      </c>
      <c r="U17" s="103">
        <f t="shared" si="1"/>
        <v>3</v>
      </c>
      <c r="V17" s="4"/>
      <c r="W17" s="82"/>
      <c r="X17" s="81"/>
      <c r="Y17" s="81"/>
    </row>
    <row r="18" spans="1:25" ht="28.5" customHeight="1" x14ac:dyDescent="0.25">
      <c r="A18" s="129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</row>
    <row r="19" spans="1:25" customFormat="1" ht="28.5" customHeight="1" x14ac:dyDescent="0.25">
      <c r="A19" s="126"/>
      <c r="B19" s="88" t="s">
        <v>4</v>
      </c>
      <c r="C19" s="89"/>
      <c r="D19" s="89"/>
      <c r="E19" s="90"/>
      <c r="F19" s="88" t="s">
        <v>5</v>
      </c>
      <c r="G19" s="89"/>
      <c r="H19" s="89"/>
      <c r="I19" s="90"/>
      <c r="J19" s="88" t="s">
        <v>6</v>
      </c>
      <c r="K19" s="89"/>
      <c r="L19" s="89"/>
      <c r="M19" s="90"/>
      <c r="N19" s="88" t="s">
        <v>7</v>
      </c>
      <c r="O19" s="89"/>
      <c r="P19" s="89"/>
      <c r="Q19" s="90"/>
      <c r="R19" s="88" t="s">
        <v>8</v>
      </c>
      <c r="S19" s="89"/>
      <c r="T19" s="89"/>
      <c r="U19" s="90"/>
      <c r="W19" s="82" t="s">
        <v>23</v>
      </c>
      <c r="X19" s="81"/>
      <c r="Y19" s="81"/>
    </row>
    <row r="20" spans="1:25" customFormat="1" ht="28.5" customHeight="1" x14ac:dyDescent="0.25">
      <c r="A20" s="127"/>
      <c r="B20" s="91" t="s">
        <v>0</v>
      </c>
      <c r="C20" s="92" t="s">
        <v>1</v>
      </c>
      <c r="D20" s="92" t="s">
        <v>2</v>
      </c>
      <c r="E20" s="93" t="s">
        <v>3</v>
      </c>
      <c r="F20" s="91" t="s">
        <v>0</v>
      </c>
      <c r="G20" s="92" t="s">
        <v>1</v>
      </c>
      <c r="H20" s="92" t="s">
        <v>2</v>
      </c>
      <c r="I20" s="93" t="s">
        <v>3</v>
      </c>
      <c r="J20" s="91" t="s">
        <v>0</v>
      </c>
      <c r="K20" s="92" t="s">
        <v>1</v>
      </c>
      <c r="L20" s="92" t="s">
        <v>2</v>
      </c>
      <c r="M20" s="93" t="s">
        <v>3</v>
      </c>
      <c r="N20" s="91" t="s">
        <v>0</v>
      </c>
      <c r="O20" s="92" t="s">
        <v>1</v>
      </c>
      <c r="P20" s="92" t="s">
        <v>2</v>
      </c>
      <c r="Q20" s="93" t="s">
        <v>3</v>
      </c>
      <c r="R20" s="91" t="s">
        <v>0</v>
      </c>
      <c r="S20" s="92" t="s">
        <v>1</v>
      </c>
      <c r="T20" s="92" t="s">
        <v>2</v>
      </c>
      <c r="U20" s="106" t="s">
        <v>3</v>
      </c>
      <c r="W20" s="82"/>
      <c r="X20" s="81"/>
      <c r="Y20" s="81"/>
    </row>
    <row r="21" spans="1:25" customFormat="1" ht="28.5" customHeight="1" x14ac:dyDescent="0.25">
      <c r="A21" s="128">
        <v>1</v>
      </c>
      <c r="B21" s="94">
        <v>3</v>
      </c>
      <c r="C21" s="95">
        <v>4</v>
      </c>
      <c r="D21" s="95">
        <v>2</v>
      </c>
      <c r="E21" s="95">
        <v>2</v>
      </c>
      <c r="F21" s="94">
        <v>3</v>
      </c>
      <c r="G21" s="95">
        <v>5</v>
      </c>
      <c r="H21" s="95">
        <v>2</v>
      </c>
      <c r="I21" s="95">
        <v>5</v>
      </c>
      <c r="J21" s="94">
        <v>4</v>
      </c>
      <c r="K21" s="95">
        <v>4</v>
      </c>
      <c r="L21" s="95">
        <v>3</v>
      </c>
      <c r="M21" s="95">
        <v>2</v>
      </c>
      <c r="N21" s="94">
        <v>4</v>
      </c>
      <c r="O21" s="95">
        <v>4</v>
      </c>
      <c r="P21" s="95">
        <v>2</v>
      </c>
      <c r="Q21" s="95">
        <v>4</v>
      </c>
      <c r="R21" s="94">
        <v>3</v>
      </c>
      <c r="S21" s="95">
        <v>5</v>
      </c>
      <c r="T21" s="95">
        <v>1</v>
      </c>
      <c r="U21" s="96">
        <v>4</v>
      </c>
      <c r="W21" s="82"/>
      <c r="X21" s="81"/>
      <c r="Y21" s="81"/>
    </row>
    <row r="22" spans="1:25" customFormat="1" ht="28.5" customHeight="1" x14ac:dyDescent="0.25">
      <c r="A22" s="128">
        <v>2</v>
      </c>
      <c r="B22" s="97">
        <v>3</v>
      </c>
      <c r="C22" s="98">
        <v>5</v>
      </c>
      <c r="D22" s="98">
        <v>4</v>
      </c>
      <c r="E22" s="98">
        <v>3</v>
      </c>
      <c r="F22" s="97">
        <v>5</v>
      </c>
      <c r="G22" s="98">
        <v>4</v>
      </c>
      <c r="H22" s="98">
        <v>5</v>
      </c>
      <c r="I22" s="98">
        <v>3</v>
      </c>
      <c r="J22" s="97">
        <v>5</v>
      </c>
      <c r="K22" s="98">
        <v>5</v>
      </c>
      <c r="L22" s="98">
        <v>5</v>
      </c>
      <c r="M22" s="98">
        <v>3</v>
      </c>
      <c r="N22" s="97">
        <v>5</v>
      </c>
      <c r="O22" s="98">
        <v>5</v>
      </c>
      <c r="P22" s="98">
        <v>4</v>
      </c>
      <c r="Q22" s="98">
        <v>3</v>
      </c>
      <c r="R22" s="97">
        <v>4</v>
      </c>
      <c r="S22" s="98">
        <v>5</v>
      </c>
      <c r="T22" s="98">
        <v>5</v>
      </c>
      <c r="U22" s="99">
        <v>3</v>
      </c>
      <c r="W22" s="82"/>
      <c r="X22" s="81"/>
      <c r="Y22" s="81"/>
    </row>
    <row r="23" spans="1:25" customFormat="1" ht="28.5" customHeight="1" x14ac:dyDescent="0.25">
      <c r="A23" s="128">
        <v>3</v>
      </c>
      <c r="B23" s="97">
        <v>4</v>
      </c>
      <c r="C23" s="98">
        <v>5</v>
      </c>
      <c r="D23" s="98">
        <v>4</v>
      </c>
      <c r="E23" s="98">
        <v>4</v>
      </c>
      <c r="F23" s="97">
        <v>5</v>
      </c>
      <c r="G23" s="98">
        <v>5</v>
      </c>
      <c r="H23" s="98">
        <v>5</v>
      </c>
      <c r="I23" s="98">
        <v>4</v>
      </c>
      <c r="J23" s="97">
        <v>4</v>
      </c>
      <c r="K23" s="98">
        <v>4</v>
      </c>
      <c r="L23" s="98">
        <v>5</v>
      </c>
      <c r="M23" s="98">
        <v>4</v>
      </c>
      <c r="N23" s="97">
        <v>5</v>
      </c>
      <c r="O23" s="98">
        <v>5</v>
      </c>
      <c r="P23" s="98">
        <v>5</v>
      </c>
      <c r="Q23" s="98">
        <v>4</v>
      </c>
      <c r="R23" s="97">
        <v>4</v>
      </c>
      <c r="S23" s="98">
        <v>5</v>
      </c>
      <c r="T23" s="98">
        <v>4</v>
      </c>
      <c r="U23" s="99">
        <v>4</v>
      </c>
      <c r="W23" s="82"/>
      <c r="X23" s="81"/>
      <c r="Y23" s="81"/>
    </row>
    <row r="24" spans="1:25" customFormat="1" ht="28.5" customHeight="1" x14ac:dyDescent="0.25">
      <c r="A24" s="128">
        <v>4</v>
      </c>
      <c r="B24" s="97">
        <v>5</v>
      </c>
      <c r="C24" s="98">
        <v>5</v>
      </c>
      <c r="D24" s="98">
        <v>5</v>
      </c>
      <c r="E24" s="98">
        <v>1</v>
      </c>
      <c r="F24" s="97">
        <v>3</v>
      </c>
      <c r="G24" s="98">
        <v>4</v>
      </c>
      <c r="H24" s="98">
        <v>4</v>
      </c>
      <c r="I24" s="98">
        <v>4</v>
      </c>
      <c r="J24" s="97">
        <v>4</v>
      </c>
      <c r="K24" s="98">
        <v>5</v>
      </c>
      <c r="L24" s="98">
        <v>4</v>
      </c>
      <c r="M24" s="98">
        <v>2</v>
      </c>
      <c r="N24" s="97">
        <v>4</v>
      </c>
      <c r="O24" s="98">
        <v>5</v>
      </c>
      <c r="P24" s="98">
        <v>4</v>
      </c>
      <c r="Q24" s="98">
        <v>2</v>
      </c>
      <c r="R24" s="97">
        <v>4</v>
      </c>
      <c r="S24" s="98">
        <v>4</v>
      </c>
      <c r="T24" s="98">
        <v>5</v>
      </c>
      <c r="U24" s="99">
        <v>4</v>
      </c>
      <c r="W24" s="82"/>
      <c r="X24" s="81"/>
      <c r="Y24" s="81"/>
    </row>
    <row r="25" spans="1:25" customFormat="1" ht="28.5" customHeight="1" x14ac:dyDescent="0.25">
      <c r="A25" s="128">
        <v>5</v>
      </c>
      <c r="B25" s="100">
        <v>3</v>
      </c>
      <c r="C25" s="101">
        <v>4</v>
      </c>
      <c r="D25" s="101">
        <v>5</v>
      </c>
      <c r="E25" s="101">
        <v>1</v>
      </c>
      <c r="F25" s="100">
        <v>5</v>
      </c>
      <c r="G25" s="101">
        <v>5</v>
      </c>
      <c r="H25" s="101">
        <v>5</v>
      </c>
      <c r="I25" s="101">
        <v>1</v>
      </c>
      <c r="J25" s="100">
        <v>5</v>
      </c>
      <c r="K25" s="101">
        <v>5</v>
      </c>
      <c r="L25" s="101">
        <v>5</v>
      </c>
      <c r="M25" s="101">
        <v>2</v>
      </c>
      <c r="N25" s="100">
        <v>5</v>
      </c>
      <c r="O25" s="101">
        <v>4</v>
      </c>
      <c r="P25" s="101">
        <v>5</v>
      </c>
      <c r="Q25" s="101">
        <v>1</v>
      </c>
      <c r="R25" s="100">
        <v>3</v>
      </c>
      <c r="S25" s="101">
        <v>3</v>
      </c>
      <c r="T25" s="101">
        <v>3</v>
      </c>
      <c r="U25" s="102">
        <v>3</v>
      </c>
      <c r="W25" s="82"/>
      <c r="X25" s="81"/>
      <c r="Y25" s="81"/>
    </row>
    <row r="26" spans="1:25" customFormat="1" ht="28.5" customHeight="1" x14ac:dyDescent="0.25">
      <c r="A26" s="128" t="s">
        <v>9</v>
      </c>
      <c r="B26" s="103">
        <f>SUM(B21:B25)/5</f>
        <v>3.6</v>
      </c>
      <c r="C26" s="103">
        <f t="shared" ref="C26:U26" si="2">SUM(C21:C25)/5</f>
        <v>4.5999999999999996</v>
      </c>
      <c r="D26" s="103">
        <f t="shared" si="2"/>
        <v>4</v>
      </c>
      <c r="E26" s="103">
        <f t="shared" si="2"/>
        <v>2.2000000000000002</v>
      </c>
      <c r="F26" s="105">
        <f t="shared" si="2"/>
        <v>4.2</v>
      </c>
      <c r="G26" s="103">
        <f t="shared" si="2"/>
        <v>4.5999999999999996</v>
      </c>
      <c r="H26" s="103">
        <f t="shared" si="2"/>
        <v>4.2</v>
      </c>
      <c r="I26" s="104">
        <f t="shared" si="2"/>
        <v>3.4</v>
      </c>
      <c r="J26" s="103">
        <f t="shared" si="2"/>
        <v>4.4000000000000004</v>
      </c>
      <c r="K26" s="103">
        <f t="shared" si="2"/>
        <v>4.5999999999999996</v>
      </c>
      <c r="L26" s="103">
        <f t="shared" si="2"/>
        <v>4.4000000000000004</v>
      </c>
      <c r="M26" s="104">
        <f t="shared" si="2"/>
        <v>2.6</v>
      </c>
      <c r="N26" s="103">
        <f t="shared" si="2"/>
        <v>4.5999999999999996</v>
      </c>
      <c r="O26" s="103">
        <f t="shared" si="2"/>
        <v>4.5999999999999996</v>
      </c>
      <c r="P26" s="103">
        <f t="shared" si="2"/>
        <v>4</v>
      </c>
      <c r="Q26" s="104">
        <f t="shared" si="2"/>
        <v>2.8</v>
      </c>
      <c r="R26" s="103">
        <f t="shared" si="2"/>
        <v>3.6</v>
      </c>
      <c r="S26" s="103">
        <f t="shared" si="2"/>
        <v>4.4000000000000004</v>
      </c>
      <c r="T26" s="103">
        <f t="shared" si="2"/>
        <v>3.6</v>
      </c>
      <c r="U26" s="103">
        <f t="shared" si="2"/>
        <v>3.6</v>
      </c>
      <c r="V26" s="4"/>
      <c r="W26" s="82"/>
      <c r="X26" s="81"/>
      <c r="Y26" s="81"/>
    </row>
    <row r="27" spans="1:25" ht="28.5" customHeight="1" x14ac:dyDescent="0.25">
      <c r="A27" s="129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</row>
    <row r="28" spans="1:25" customFormat="1" ht="28.5" customHeight="1" x14ac:dyDescent="0.25">
      <c r="A28" s="130"/>
      <c r="B28" s="107" t="s">
        <v>4</v>
      </c>
      <c r="C28" s="108"/>
      <c r="D28" s="108"/>
      <c r="E28" s="109"/>
      <c r="F28" s="110" t="s">
        <v>5</v>
      </c>
      <c r="G28" s="108"/>
      <c r="H28" s="108"/>
      <c r="I28" s="109"/>
      <c r="J28" s="110" t="s">
        <v>6</v>
      </c>
      <c r="K28" s="108"/>
      <c r="L28" s="108"/>
      <c r="M28" s="109"/>
      <c r="N28" s="110" t="s">
        <v>7</v>
      </c>
      <c r="O28" s="108"/>
      <c r="P28" s="108"/>
      <c r="Q28" s="109"/>
      <c r="R28" s="110" t="s">
        <v>8</v>
      </c>
      <c r="S28" s="108"/>
      <c r="T28" s="108"/>
      <c r="U28" s="109"/>
      <c r="W28" s="82" t="s">
        <v>24</v>
      </c>
      <c r="X28" s="81"/>
      <c r="Y28" s="81"/>
    </row>
    <row r="29" spans="1:25" customFormat="1" ht="28.5" customHeight="1" x14ac:dyDescent="0.25">
      <c r="A29" s="131"/>
      <c r="B29" s="111" t="s">
        <v>0</v>
      </c>
      <c r="C29" s="111" t="s">
        <v>1</v>
      </c>
      <c r="D29" s="111" t="s">
        <v>17</v>
      </c>
      <c r="E29" s="112" t="s">
        <v>3</v>
      </c>
      <c r="F29" s="111" t="s">
        <v>0</v>
      </c>
      <c r="G29" s="111" t="s">
        <v>1</v>
      </c>
      <c r="H29" s="111" t="s">
        <v>17</v>
      </c>
      <c r="I29" s="112" t="s">
        <v>3</v>
      </c>
      <c r="J29" s="111" t="s">
        <v>0</v>
      </c>
      <c r="K29" s="111" t="s">
        <v>1</v>
      </c>
      <c r="L29" s="111" t="s">
        <v>17</v>
      </c>
      <c r="M29" s="112" t="s">
        <v>3</v>
      </c>
      <c r="N29" s="111" t="s">
        <v>0</v>
      </c>
      <c r="O29" s="111" t="s">
        <v>1</v>
      </c>
      <c r="P29" s="111" t="s">
        <v>17</v>
      </c>
      <c r="Q29" s="112" t="s">
        <v>3</v>
      </c>
      <c r="R29" s="111" t="s">
        <v>0</v>
      </c>
      <c r="S29" s="111" t="s">
        <v>1</v>
      </c>
      <c r="T29" s="111" t="s">
        <v>17</v>
      </c>
      <c r="U29" s="112" t="s">
        <v>3</v>
      </c>
      <c r="W29" s="82"/>
      <c r="X29" s="81"/>
      <c r="Y29" s="81"/>
    </row>
    <row r="30" spans="1:25" customFormat="1" ht="28.5" customHeight="1" x14ac:dyDescent="0.25">
      <c r="A30" s="132">
        <v>1</v>
      </c>
      <c r="B30" s="113">
        <v>4</v>
      </c>
      <c r="C30" s="114">
        <v>4</v>
      </c>
      <c r="D30" s="114">
        <v>3</v>
      </c>
      <c r="E30" s="114">
        <v>2</v>
      </c>
      <c r="F30" s="113">
        <v>5</v>
      </c>
      <c r="G30" s="114">
        <v>5</v>
      </c>
      <c r="H30" s="114">
        <v>4</v>
      </c>
      <c r="I30" s="114">
        <v>5</v>
      </c>
      <c r="J30" s="113">
        <v>4</v>
      </c>
      <c r="K30" s="114">
        <v>3</v>
      </c>
      <c r="L30" s="114">
        <v>4</v>
      </c>
      <c r="M30" s="114">
        <v>2</v>
      </c>
      <c r="N30" s="113">
        <v>3</v>
      </c>
      <c r="O30" s="114">
        <v>4</v>
      </c>
      <c r="P30" s="114">
        <v>3</v>
      </c>
      <c r="Q30" s="114">
        <v>3</v>
      </c>
      <c r="R30" s="113">
        <v>3</v>
      </c>
      <c r="S30" s="114">
        <v>3</v>
      </c>
      <c r="T30" s="114">
        <v>4</v>
      </c>
      <c r="U30" s="115">
        <v>3</v>
      </c>
      <c r="W30" s="82"/>
      <c r="X30" s="81"/>
      <c r="Y30" s="81"/>
    </row>
    <row r="31" spans="1:25" customFormat="1" ht="28.5" customHeight="1" x14ac:dyDescent="0.25">
      <c r="A31" s="132">
        <v>2</v>
      </c>
      <c r="B31" s="116">
        <v>2</v>
      </c>
      <c r="C31" s="117">
        <v>3</v>
      </c>
      <c r="D31" s="117">
        <v>3</v>
      </c>
      <c r="E31" s="117">
        <v>3</v>
      </c>
      <c r="F31" s="116">
        <v>5</v>
      </c>
      <c r="G31" s="117">
        <v>5</v>
      </c>
      <c r="H31" s="117">
        <v>5</v>
      </c>
      <c r="I31" s="117">
        <v>5</v>
      </c>
      <c r="J31" s="116">
        <v>5</v>
      </c>
      <c r="K31" s="117">
        <v>4</v>
      </c>
      <c r="L31" s="117">
        <v>4</v>
      </c>
      <c r="M31" s="117">
        <v>3</v>
      </c>
      <c r="N31" s="116">
        <v>4</v>
      </c>
      <c r="O31" s="117">
        <v>4</v>
      </c>
      <c r="P31" s="117">
        <v>4</v>
      </c>
      <c r="Q31" s="117">
        <v>3</v>
      </c>
      <c r="R31" s="116">
        <v>3</v>
      </c>
      <c r="S31" s="117">
        <v>3</v>
      </c>
      <c r="T31" s="117">
        <v>3</v>
      </c>
      <c r="U31" s="118">
        <v>2</v>
      </c>
      <c r="W31" s="82"/>
      <c r="X31" s="81"/>
      <c r="Y31" s="81"/>
    </row>
    <row r="32" spans="1:25" customFormat="1" ht="28.5" customHeight="1" x14ac:dyDescent="0.25">
      <c r="A32" s="132">
        <v>3</v>
      </c>
      <c r="B32" s="116">
        <v>3</v>
      </c>
      <c r="C32" s="117">
        <v>3</v>
      </c>
      <c r="D32" s="117">
        <v>5</v>
      </c>
      <c r="E32" s="117">
        <v>3</v>
      </c>
      <c r="F32" s="116">
        <v>5</v>
      </c>
      <c r="G32" s="117">
        <v>5</v>
      </c>
      <c r="H32" s="117">
        <v>5</v>
      </c>
      <c r="I32" s="117">
        <v>5</v>
      </c>
      <c r="J32" s="116">
        <v>4</v>
      </c>
      <c r="K32" s="117">
        <v>4</v>
      </c>
      <c r="L32" s="117">
        <v>3</v>
      </c>
      <c r="M32" s="117">
        <v>3</v>
      </c>
      <c r="N32" s="116">
        <v>5</v>
      </c>
      <c r="O32" s="117">
        <v>4</v>
      </c>
      <c r="P32" s="117">
        <v>5</v>
      </c>
      <c r="Q32" s="117">
        <v>4</v>
      </c>
      <c r="R32" s="116">
        <v>5</v>
      </c>
      <c r="S32" s="117">
        <v>4</v>
      </c>
      <c r="T32" s="117">
        <v>5</v>
      </c>
      <c r="U32" s="118">
        <v>4</v>
      </c>
      <c r="W32" s="82"/>
      <c r="X32" s="81"/>
      <c r="Y32" s="81"/>
    </row>
    <row r="33" spans="1:25" customFormat="1" ht="28.5" customHeight="1" x14ac:dyDescent="0.25">
      <c r="A33" s="132">
        <v>4</v>
      </c>
      <c r="B33" s="116">
        <v>4</v>
      </c>
      <c r="C33" s="117">
        <v>5</v>
      </c>
      <c r="D33" s="117">
        <v>4</v>
      </c>
      <c r="E33" s="117">
        <v>3</v>
      </c>
      <c r="F33" s="116">
        <v>3</v>
      </c>
      <c r="G33" s="117">
        <v>4</v>
      </c>
      <c r="H33" s="117">
        <v>3</v>
      </c>
      <c r="I33" s="117">
        <v>5</v>
      </c>
      <c r="J33" s="116">
        <v>3</v>
      </c>
      <c r="K33" s="117">
        <v>4</v>
      </c>
      <c r="L33" s="117">
        <v>3</v>
      </c>
      <c r="M33" s="117">
        <v>3</v>
      </c>
      <c r="N33" s="116">
        <v>4</v>
      </c>
      <c r="O33" s="117">
        <v>4</v>
      </c>
      <c r="P33" s="117">
        <v>5</v>
      </c>
      <c r="Q33" s="117">
        <v>3</v>
      </c>
      <c r="R33" s="116">
        <v>4</v>
      </c>
      <c r="S33" s="117">
        <v>5</v>
      </c>
      <c r="T33" s="117">
        <v>4</v>
      </c>
      <c r="U33" s="118">
        <v>3</v>
      </c>
      <c r="W33" s="82"/>
      <c r="X33" s="81"/>
      <c r="Y33" s="81"/>
    </row>
    <row r="34" spans="1:25" customFormat="1" ht="28.5" customHeight="1" x14ac:dyDescent="0.25">
      <c r="A34" s="132">
        <v>5</v>
      </c>
      <c r="B34" s="119">
        <v>3</v>
      </c>
      <c r="C34" s="120">
        <v>3</v>
      </c>
      <c r="D34" s="120">
        <v>4</v>
      </c>
      <c r="E34" s="120">
        <v>3</v>
      </c>
      <c r="F34" s="119">
        <v>5</v>
      </c>
      <c r="G34" s="120">
        <v>5</v>
      </c>
      <c r="H34" s="120">
        <v>5</v>
      </c>
      <c r="I34" s="120">
        <v>2</v>
      </c>
      <c r="J34" s="119">
        <v>4</v>
      </c>
      <c r="K34" s="120">
        <v>3</v>
      </c>
      <c r="L34" s="120">
        <v>4</v>
      </c>
      <c r="M34" s="120">
        <v>3</v>
      </c>
      <c r="N34" s="119">
        <v>4</v>
      </c>
      <c r="O34" s="120">
        <v>4</v>
      </c>
      <c r="P34" s="120">
        <v>4</v>
      </c>
      <c r="Q34" s="120">
        <v>3</v>
      </c>
      <c r="R34" s="119">
        <v>3</v>
      </c>
      <c r="S34" s="120">
        <v>3</v>
      </c>
      <c r="T34" s="120">
        <v>4</v>
      </c>
      <c r="U34" s="121">
        <v>3</v>
      </c>
      <c r="W34" s="82"/>
      <c r="X34" s="81"/>
      <c r="Y34" s="81"/>
    </row>
    <row r="35" spans="1:25" customFormat="1" ht="28.5" customHeight="1" x14ac:dyDescent="0.25">
      <c r="A35" s="132" t="s">
        <v>9</v>
      </c>
      <c r="B35" s="120">
        <f>SUM(B30:B34)/5</f>
        <v>3.2</v>
      </c>
      <c r="C35" s="120">
        <f t="shared" ref="C35:U35" si="3">SUM(C30:C34)/5</f>
        <v>3.6</v>
      </c>
      <c r="D35" s="120">
        <f t="shared" si="3"/>
        <v>3.8</v>
      </c>
      <c r="E35" s="122">
        <f t="shared" si="3"/>
        <v>2.8</v>
      </c>
      <c r="F35" s="120">
        <f t="shared" si="3"/>
        <v>4.5999999999999996</v>
      </c>
      <c r="G35" s="120">
        <f t="shared" si="3"/>
        <v>4.8</v>
      </c>
      <c r="H35" s="120">
        <f t="shared" si="3"/>
        <v>4.4000000000000004</v>
      </c>
      <c r="I35" s="120">
        <f t="shared" si="3"/>
        <v>4.4000000000000004</v>
      </c>
      <c r="J35" s="123">
        <f t="shared" si="3"/>
        <v>4</v>
      </c>
      <c r="K35" s="120">
        <f t="shared" si="3"/>
        <v>3.6</v>
      </c>
      <c r="L35" s="120">
        <f t="shared" si="3"/>
        <v>3.6</v>
      </c>
      <c r="M35" s="122">
        <f t="shared" si="3"/>
        <v>2.8</v>
      </c>
      <c r="N35" s="120">
        <f t="shared" si="3"/>
        <v>4</v>
      </c>
      <c r="O35" s="120">
        <f t="shared" si="3"/>
        <v>4</v>
      </c>
      <c r="P35" s="120">
        <f t="shared" si="3"/>
        <v>4.2</v>
      </c>
      <c r="Q35" s="122">
        <f t="shared" si="3"/>
        <v>3.2</v>
      </c>
      <c r="R35" s="120">
        <f t="shared" si="3"/>
        <v>3.6</v>
      </c>
      <c r="S35" s="120">
        <f t="shared" si="3"/>
        <v>3.6</v>
      </c>
      <c r="T35" s="120">
        <f t="shared" si="3"/>
        <v>4</v>
      </c>
      <c r="U35" s="120">
        <f t="shared" si="3"/>
        <v>3</v>
      </c>
      <c r="V35" s="4"/>
      <c r="W35" s="82"/>
      <c r="X35" s="81"/>
      <c r="Y35" s="81"/>
    </row>
    <row r="36" spans="1:25" ht="28.5" customHeight="1" x14ac:dyDescent="0.25">
      <c r="A36" s="133"/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</row>
    <row r="37" spans="1:25" ht="28.5" customHeight="1" x14ac:dyDescent="0.25">
      <c r="A37" s="133"/>
      <c r="B37" s="107" t="s">
        <v>4</v>
      </c>
      <c r="C37" s="108"/>
      <c r="D37" s="108"/>
      <c r="E37" s="109"/>
      <c r="F37" s="110" t="s">
        <v>5</v>
      </c>
      <c r="G37" s="108"/>
      <c r="H37" s="108"/>
      <c r="I37" s="109"/>
      <c r="J37" s="110" t="s">
        <v>6</v>
      </c>
      <c r="K37" s="108"/>
      <c r="L37" s="108"/>
      <c r="M37" s="109"/>
      <c r="N37" s="110" t="s">
        <v>7</v>
      </c>
      <c r="O37" s="108"/>
      <c r="P37" s="108"/>
      <c r="Q37" s="109"/>
      <c r="R37" s="110" t="s">
        <v>8</v>
      </c>
      <c r="S37" s="108"/>
      <c r="T37" s="108"/>
      <c r="U37" s="109"/>
      <c r="W37" s="82" t="s">
        <v>25</v>
      </c>
    </row>
    <row r="38" spans="1:25" ht="28.5" customHeight="1" x14ac:dyDescent="0.25">
      <c r="A38" s="133"/>
      <c r="B38" s="111" t="s">
        <v>0</v>
      </c>
      <c r="C38" s="111" t="s">
        <v>1</v>
      </c>
      <c r="D38" s="111" t="s">
        <v>17</v>
      </c>
      <c r="E38" s="112" t="s">
        <v>3</v>
      </c>
      <c r="F38" s="111" t="s">
        <v>0</v>
      </c>
      <c r="G38" s="111" t="s">
        <v>1</v>
      </c>
      <c r="H38" s="111" t="s">
        <v>17</v>
      </c>
      <c r="I38" s="112" t="s">
        <v>3</v>
      </c>
      <c r="J38" s="111" t="s">
        <v>0</v>
      </c>
      <c r="K38" s="111" t="s">
        <v>1</v>
      </c>
      <c r="L38" s="111" t="s">
        <v>17</v>
      </c>
      <c r="M38" s="112" t="s">
        <v>3</v>
      </c>
      <c r="N38" s="111" t="s">
        <v>0</v>
      </c>
      <c r="O38" s="111" t="s">
        <v>1</v>
      </c>
      <c r="P38" s="111" t="s">
        <v>17</v>
      </c>
      <c r="Q38" s="112" t="s">
        <v>3</v>
      </c>
      <c r="R38" s="111" t="s">
        <v>0</v>
      </c>
      <c r="S38" s="111" t="s">
        <v>1</v>
      </c>
      <c r="T38" s="111" t="s">
        <v>17</v>
      </c>
      <c r="U38" s="112" t="s">
        <v>3</v>
      </c>
      <c r="W38" s="82"/>
    </row>
    <row r="39" spans="1:25" customFormat="1" ht="28.5" customHeight="1" x14ac:dyDescent="0.25">
      <c r="A39" s="134"/>
      <c r="B39" s="85">
        <f>SUM(B8,B17,B26,B35)/4</f>
        <v>3.4000000000000004</v>
      </c>
      <c r="C39" s="86">
        <f t="shared" ref="C39:U39" si="4">SUM(C8,C17,C26,C35)/4</f>
        <v>4.1499999999999995</v>
      </c>
      <c r="D39" s="86">
        <f t="shared" si="4"/>
        <v>3.8499999999999996</v>
      </c>
      <c r="E39" s="87">
        <f t="shared" si="4"/>
        <v>2.5</v>
      </c>
      <c r="F39" s="85">
        <f t="shared" si="4"/>
        <v>4.3000000000000007</v>
      </c>
      <c r="G39" s="86">
        <f t="shared" si="4"/>
        <v>4.6499999999999995</v>
      </c>
      <c r="H39" s="86">
        <f t="shared" si="4"/>
        <v>4.1999999999999993</v>
      </c>
      <c r="I39" s="87">
        <f t="shared" si="4"/>
        <v>4</v>
      </c>
      <c r="J39" s="85">
        <f t="shared" si="4"/>
        <v>4.3000000000000007</v>
      </c>
      <c r="K39" s="86">
        <f t="shared" si="4"/>
        <v>4.1500000000000004</v>
      </c>
      <c r="L39" s="86">
        <f t="shared" si="4"/>
        <v>4.2</v>
      </c>
      <c r="M39" s="87">
        <f t="shared" si="4"/>
        <v>2.9000000000000004</v>
      </c>
      <c r="N39" s="85">
        <f t="shared" si="4"/>
        <v>4.3000000000000007</v>
      </c>
      <c r="O39" s="86">
        <f t="shared" si="4"/>
        <v>4.3499999999999996</v>
      </c>
      <c r="P39" s="86">
        <f t="shared" si="4"/>
        <v>4</v>
      </c>
      <c r="Q39" s="87">
        <f t="shared" si="4"/>
        <v>3.05</v>
      </c>
      <c r="R39" s="85">
        <f t="shared" si="4"/>
        <v>3.95</v>
      </c>
      <c r="S39" s="86">
        <f t="shared" si="4"/>
        <v>4.05</v>
      </c>
      <c r="T39" s="86">
        <f t="shared" si="4"/>
        <v>3.9499999999999997</v>
      </c>
      <c r="U39" s="87">
        <f t="shared" si="4"/>
        <v>3.2</v>
      </c>
      <c r="W39" s="82"/>
      <c r="X39" s="81"/>
      <c r="Y39" s="81"/>
    </row>
    <row r="40" spans="1:25" ht="28.5" customHeight="1" x14ac:dyDescent="0.25">
      <c r="W40" s="84"/>
    </row>
    <row r="41" spans="1:25" ht="28.5" customHeight="1" x14ac:dyDescent="0.25">
      <c r="W41" s="84"/>
    </row>
    <row r="42" spans="1:25" ht="28.5" customHeight="1" x14ac:dyDescent="0.25">
      <c r="W42" s="84"/>
    </row>
    <row r="43" spans="1:25" ht="28.5" customHeight="1" x14ac:dyDescent="0.25">
      <c r="W43" s="84"/>
    </row>
    <row r="44" spans="1:25" ht="28.5" customHeight="1" x14ac:dyDescent="0.25">
      <c r="W44" s="84"/>
    </row>
  </sheetData>
  <mergeCells count="34">
    <mergeCell ref="W37:W39"/>
    <mergeCell ref="B37:E37"/>
    <mergeCell ref="F37:I37"/>
    <mergeCell ref="J37:M37"/>
    <mergeCell ref="N37:Q37"/>
    <mergeCell ref="R37:U37"/>
    <mergeCell ref="W1:W8"/>
    <mergeCell ref="W10:W17"/>
    <mergeCell ref="W19:W26"/>
    <mergeCell ref="W28:W35"/>
    <mergeCell ref="A19:A20"/>
    <mergeCell ref="B19:E19"/>
    <mergeCell ref="A28:A29"/>
    <mergeCell ref="B28:E28"/>
    <mergeCell ref="F28:I28"/>
    <mergeCell ref="F19:I19"/>
    <mergeCell ref="R10:U10"/>
    <mergeCell ref="A10:A11"/>
    <mergeCell ref="A1:A2"/>
    <mergeCell ref="B10:E10"/>
    <mergeCell ref="F10:I10"/>
    <mergeCell ref="J10:M10"/>
    <mergeCell ref="N10:Q10"/>
    <mergeCell ref="B1:E1"/>
    <mergeCell ref="F1:I1"/>
    <mergeCell ref="J1:M1"/>
    <mergeCell ref="N1:Q1"/>
    <mergeCell ref="R1:U1"/>
    <mergeCell ref="J19:M19"/>
    <mergeCell ref="N19:Q19"/>
    <mergeCell ref="R28:U28"/>
    <mergeCell ref="R19:U19"/>
    <mergeCell ref="J28:M28"/>
    <mergeCell ref="N28:Q2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452D-A0F9-46B8-B77A-58805BCC6C1A}">
  <dimension ref="A1:AF38"/>
  <sheetViews>
    <sheetView workbookViewId="0">
      <selection activeCell="Z6" sqref="Z6"/>
    </sheetView>
  </sheetViews>
  <sheetFormatPr defaultRowHeight="15" x14ac:dyDescent="0.25"/>
  <sheetData>
    <row r="1" spans="1:32" x14ac:dyDescent="0.25">
      <c r="A1" s="75" t="s">
        <v>10</v>
      </c>
      <c r="B1" s="69" t="s">
        <v>4</v>
      </c>
      <c r="C1" s="70"/>
      <c r="D1" s="70"/>
      <c r="E1" s="71"/>
      <c r="F1" s="69" t="s">
        <v>5</v>
      </c>
      <c r="G1" s="70"/>
      <c r="H1" s="70"/>
      <c r="I1" s="71"/>
      <c r="J1" s="69" t="s">
        <v>6</v>
      </c>
      <c r="K1" s="70"/>
      <c r="L1" s="70"/>
      <c r="M1" s="71"/>
      <c r="N1" s="69" t="s">
        <v>7</v>
      </c>
      <c r="O1" s="70"/>
      <c r="P1" s="70"/>
      <c r="Q1" s="71"/>
      <c r="R1" s="69" t="s">
        <v>8</v>
      </c>
      <c r="S1" s="70"/>
      <c r="T1" s="70"/>
      <c r="U1" s="71"/>
      <c r="AC1" t="s">
        <v>12</v>
      </c>
      <c r="AD1" t="s">
        <v>13</v>
      </c>
      <c r="AE1" t="s">
        <v>14</v>
      </c>
      <c r="AF1" t="s">
        <v>15</v>
      </c>
    </row>
    <row r="2" spans="1:32" x14ac:dyDescent="0.25">
      <c r="A2" s="76"/>
      <c r="B2" s="2" t="s">
        <v>0</v>
      </c>
      <c r="C2" s="67" t="s">
        <v>1</v>
      </c>
      <c r="D2" s="28" t="s">
        <v>2</v>
      </c>
      <c r="E2" s="3" t="s">
        <v>3</v>
      </c>
      <c r="F2" s="39" t="s">
        <v>0</v>
      </c>
      <c r="G2" s="28" t="s">
        <v>1</v>
      </c>
      <c r="H2" s="28" t="s">
        <v>2</v>
      </c>
      <c r="I2" s="48" t="s">
        <v>3</v>
      </c>
      <c r="J2" s="2" t="s">
        <v>0</v>
      </c>
      <c r="K2" s="1" t="s">
        <v>1</v>
      </c>
      <c r="L2" s="1" t="s">
        <v>2</v>
      </c>
      <c r="M2" s="3" t="s">
        <v>3</v>
      </c>
      <c r="N2" s="39" t="s">
        <v>0</v>
      </c>
      <c r="O2" s="67" t="s">
        <v>1</v>
      </c>
      <c r="P2" s="28" t="s">
        <v>2</v>
      </c>
      <c r="Q2" s="48" t="s">
        <v>3</v>
      </c>
      <c r="R2" s="59" t="s">
        <v>0</v>
      </c>
      <c r="S2" s="67" t="s">
        <v>1</v>
      </c>
      <c r="T2" s="28" t="s">
        <v>2</v>
      </c>
      <c r="U2" s="3" t="s">
        <v>3</v>
      </c>
      <c r="W2" s="80" t="s">
        <v>20</v>
      </c>
      <c r="X2" s="80"/>
      <c r="Y2" s="80"/>
      <c r="AB2" t="str">
        <f>B1</f>
        <v>ChatGPT</v>
      </c>
      <c r="AC2">
        <f>B38</f>
        <v>3.55</v>
      </c>
      <c r="AD2">
        <f>C38</f>
        <v>4.3499999999999996</v>
      </c>
      <c r="AE2">
        <f>D38</f>
        <v>3.85</v>
      </c>
      <c r="AF2">
        <f>E38</f>
        <v>2.4</v>
      </c>
    </row>
    <row r="3" spans="1:32" x14ac:dyDescent="0.25">
      <c r="A3" s="1">
        <v>1</v>
      </c>
      <c r="B3" s="5">
        <v>5</v>
      </c>
      <c r="C3" s="49">
        <v>5</v>
      </c>
      <c r="D3" s="29">
        <v>2</v>
      </c>
      <c r="E3" s="6" t="s">
        <v>19</v>
      </c>
      <c r="F3" s="40">
        <v>5</v>
      </c>
      <c r="G3" s="29">
        <v>5</v>
      </c>
      <c r="H3" s="29">
        <v>3</v>
      </c>
      <c r="I3" s="49">
        <v>5</v>
      </c>
      <c r="J3" s="5">
        <v>4</v>
      </c>
      <c r="K3" s="6">
        <v>5</v>
      </c>
      <c r="L3" s="6">
        <v>3</v>
      </c>
      <c r="M3" s="6" t="s">
        <v>19</v>
      </c>
      <c r="N3" s="40">
        <v>5</v>
      </c>
      <c r="O3" s="49">
        <v>5</v>
      </c>
      <c r="P3" s="29">
        <v>4</v>
      </c>
      <c r="Q3" s="49">
        <v>5</v>
      </c>
      <c r="R3" s="60">
        <v>4</v>
      </c>
      <c r="S3" s="49">
        <v>5</v>
      </c>
      <c r="T3" s="29">
        <v>3</v>
      </c>
      <c r="U3" s="7">
        <v>4</v>
      </c>
      <c r="W3" s="80"/>
      <c r="X3" s="80"/>
      <c r="Y3" s="80"/>
      <c r="AB3" t="str">
        <f>F1</f>
        <v>Grok</v>
      </c>
      <c r="AC3">
        <f>F38</f>
        <v>4.3</v>
      </c>
      <c r="AD3">
        <f>G38</f>
        <v>4.6500000000000004</v>
      </c>
      <c r="AE3">
        <f>H38</f>
        <v>4.2</v>
      </c>
      <c r="AF3">
        <f>I38</f>
        <v>4.1500000000000004</v>
      </c>
    </row>
    <row r="4" spans="1:32" x14ac:dyDescent="0.25">
      <c r="A4" s="1">
        <v>2</v>
      </c>
      <c r="B4" s="8">
        <v>3</v>
      </c>
      <c r="C4" s="50">
        <v>5</v>
      </c>
      <c r="D4" s="30">
        <v>4</v>
      </c>
      <c r="E4" s="9" t="s">
        <v>19</v>
      </c>
      <c r="F4" s="41">
        <v>5</v>
      </c>
      <c r="G4" s="30">
        <v>5</v>
      </c>
      <c r="H4" s="30">
        <v>5</v>
      </c>
      <c r="I4" s="50">
        <v>4</v>
      </c>
      <c r="J4" s="8">
        <v>5</v>
      </c>
      <c r="K4" s="9">
        <v>5</v>
      </c>
      <c r="L4" s="9">
        <v>5</v>
      </c>
      <c r="M4" s="9" t="s">
        <v>19</v>
      </c>
      <c r="N4" s="41">
        <v>5</v>
      </c>
      <c r="O4" s="50">
        <v>5</v>
      </c>
      <c r="P4" s="30">
        <v>4</v>
      </c>
      <c r="Q4" s="50">
        <v>3</v>
      </c>
      <c r="R4" s="61">
        <v>5</v>
      </c>
      <c r="S4" s="50">
        <v>5</v>
      </c>
      <c r="T4" s="30">
        <v>4</v>
      </c>
      <c r="U4" s="10">
        <v>3</v>
      </c>
      <c r="W4" s="80"/>
      <c r="X4" s="80"/>
      <c r="Y4" s="80"/>
      <c r="AB4" t="str">
        <f>J1</f>
        <v>DeepSeek</v>
      </c>
      <c r="AC4">
        <f>J38</f>
        <v>4.4000000000000004</v>
      </c>
      <c r="AD4">
        <f>K38</f>
        <v>4.5999999999999996</v>
      </c>
      <c r="AE4">
        <f>L38</f>
        <v>4.25</v>
      </c>
      <c r="AF4">
        <f>M38</f>
        <v>2.8</v>
      </c>
    </row>
    <row r="5" spans="1:32" x14ac:dyDescent="0.25">
      <c r="A5" s="1">
        <v>3</v>
      </c>
      <c r="B5" s="8">
        <v>4</v>
      </c>
      <c r="C5" s="50">
        <v>5</v>
      </c>
      <c r="D5" s="30">
        <v>5</v>
      </c>
      <c r="E5" s="9" t="s">
        <v>19</v>
      </c>
      <c r="F5" s="41">
        <v>5</v>
      </c>
      <c r="G5" s="30">
        <v>5</v>
      </c>
      <c r="H5" s="30">
        <v>5</v>
      </c>
      <c r="I5" s="50">
        <v>5</v>
      </c>
      <c r="J5" s="8">
        <v>5</v>
      </c>
      <c r="K5" s="9">
        <v>4</v>
      </c>
      <c r="L5" s="9">
        <v>5</v>
      </c>
      <c r="M5" s="9" t="s">
        <v>19</v>
      </c>
      <c r="N5" s="41">
        <v>5</v>
      </c>
      <c r="O5" s="50">
        <v>5</v>
      </c>
      <c r="P5" s="30">
        <v>3</v>
      </c>
      <c r="Q5" s="50">
        <v>4</v>
      </c>
      <c r="R5" s="61">
        <v>5</v>
      </c>
      <c r="S5" s="50">
        <v>5</v>
      </c>
      <c r="T5" s="30">
        <v>5</v>
      </c>
      <c r="U5" s="10">
        <v>3</v>
      </c>
      <c r="AB5" t="str">
        <f>N1</f>
        <v>Gemini</v>
      </c>
      <c r="AC5">
        <f>N38</f>
        <v>4.3</v>
      </c>
      <c r="AD5">
        <f>O38</f>
        <v>4.3499999999999996</v>
      </c>
      <c r="AE5">
        <f>P38</f>
        <v>4</v>
      </c>
      <c r="AF5">
        <f>Q38</f>
        <v>3.1</v>
      </c>
    </row>
    <row r="6" spans="1:32" x14ac:dyDescent="0.25">
      <c r="A6" s="1">
        <v>4</v>
      </c>
      <c r="B6" s="8">
        <v>5</v>
      </c>
      <c r="C6" s="50">
        <v>5</v>
      </c>
      <c r="D6" s="30">
        <v>5</v>
      </c>
      <c r="E6" s="9" t="s">
        <v>19</v>
      </c>
      <c r="F6" s="41">
        <v>4</v>
      </c>
      <c r="G6" s="30">
        <v>5</v>
      </c>
      <c r="H6" s="30">
        <v>4</v>
      </c>
      <c r="I6" s="50">
        <v>5</v>
      </c>
      <c r="J6" s="8">
        <v>3</v>
      </c>
      <c r="K6" s="9">
        <v>5</v>
      </c>
      <c r="L6" s="9">
        <v>3</v>
      </c>
      <c r="M6" s="9" t="s">
        <v>19</v>
      </c>
      <c r="N6" s="41">
        <v>4</v>
      </c>
      <c r="O6" s="50">
        <v>5</v>
      </c>
      <c r="P6" s="30">
        <v>5</v>
      </c>
      <c r="Q6" s="50">
        <v>2</v>
      </c>
      <c r="R6" s="61">
        <v>5</v>
      </c>
      <c r="S6" s="50">
        <v>5</v>
      </c>
      <c r="T6" s="30">
        <v>5</v>
      </c>
      <c r="U6" s="10">
        <v>4</v>
      </c>
      <c r="AB6" t="str">
        <f>R1</f>
        <v>Copilot</v>
      </c>
      <c r="AC6">
        <f>R38</f>
        <v>3.95</v>
      </c>
      <c r="AD6">
        <f>S38</f>
        <v>4.25</v>
      </c>
      <c r="AE6">
        <f>T38</f>
        <v>3.95</v>
      </c>
      <c r="AF6">
        <f>U38</f>
        <v>3</v>
      </c>
    </row>
    <row r="7" spans="1:32" x14ac:dyDescent="0.25">
      <c r="A7" s="1">
        <v>5</v>
      </c>
      <c r="B7" s="11">
        <v>2</v>
      </c>
      <c r="C7" s="51">
        <v>5</v>
      </c>
      <c r="D7" s="31">
        <v>3</v>
      </c>
      <c r="E7" s="12" t="s">
        <v>19</v>
      </c>
      <c r="F7" s="42">
        <v>3</v>
      </c>
      <c r="G7" s="31">
        <v>5</v>
      </c>
      <c r="H7" s="31">
        <v>3</v>
      </c>
      <c r="I7" s="51">
        <v>3</v>
      </c>
      <c r="J7" s="11">
        <v>5</v>
      </c>
      <c r="K7" s="12">
        <v>5</v>
      </c>
      <c r="L7" s="12">
        <v>5</v>
      </c>
      <c r="M7" s="12" t="s">
        <v>19</v>
      </c>
      <c r="N7" s="42">
        <v>3</v>
      </c>
      <c r="O7" s="51">
        <v>5</v>
      </c>
      <c r="P7" s="31">
        <v>3</v>
      </c>
      <c r="Q7" s="51">
        <v>3</v>
      </c>
      <c r="R7" s="62">
        <v>2</v>
      </c>
      <c r="S7" s="51">
        <v>5</v>
      </c>
      <c r="T7" s="31">
        <v>3</v>
      </c>
      <c r="U7" s="13">
        <v>2</v>
      </c>
    </row>
    <row r="8" spans="1:32" x14ac:dyDescent="0.25">
      <c r="A8" s="1" t="s">
        <v>9</v>
      </c>
      <c r="B8" s="17">
        <f>SUM(B3:B7)</f>
        <v>19</v>
      </c>
      <c r="C8" s="52">
        <f t="shared" ref="C8:U8" si="0">SUM(C3:C7)</f>
        <v>25</v>
      </c>
      <c r="D8" s="32">
        <f t="shared" si="0"/>
        <v>19</v>
      </c>
      <c r="E8" s="46">
        <v>12</v>
      </c>
      <c r="F8" s="32">
        <f t="shared" si="0"/>
        <v>22</v>
      </c>
      <c r="G8" s="32">
        <f t="shared" si="0"/>
        <v>25</v>
      </c>
      <c r="H8" s="32">
        <f t="shared" si="0"/>
        <v>20</v>
      </c>
      <c r="I8" s="52">
        <f t="shared" si="0"/>
        <v>22</v>
      </c>
      <c r="J8" s="17">
        <f t="shared" si="0"/>
        <v>22</v>
      </c>
      <c r="K8" s="17">
        <f t="shared" si="0"/>
        <v>24</v>
      </c>
      <c r="L8" s="17">
        <f t="shared" si="0"/>
        <v>21</v>
      </c>
      <c r="M8" s="46">
        <v>14</v>
      </c>
      <c r="N8" s="32">
        <f t="shared" si="0"/>
        <v>22</v>
      </c>
      <c r="O8" s="52">
        <f t="shared" si="0"/>
        <v>25</v>
      </c>
      <c r="P8" s="32">
        <f t="shared" si="0"/>
        <v>19</v>
      </c>
      <c r="Q8" s="52">
        <f t="shared" si="0"/>
        <v>17</v>
      </c>
      <c r="R8" s="52">
        <f t="shared" si="0"/>
        <v>21</v>
      </c>
      <c r="S8" s="52">
        <f t="shared" si="0"/>
        <v>25</v>
      </c>
      <c r="T8" s="32">
        <f t="shared" si="0"/>
        <v>20</v>
      </c>
      <c r="U8" s="17">
        <f t="shared" si="0"/>
        <v>16</v>
      </c>
    </row>
    <row r="9" spans="1:32" x14ac:dyDescent="0.25">
      <c r="B9" s="9"/>
      <c r="C9" s="50"/>
      <c r="D9" s="30"/>
      <c r="E9" s="9"/>
      <c r="F9" s="30"/>
      <c r="G9" s="30"/>
      <c r="H9" s="30"/>
      <c r="I9" s="50"/>
      <c r="J9" s="9"/>
      <c r="K9" s="9"/>
      <c r="L9" s="9"/>
      <c r="M9" s="9"/>
      <c r="N9" s="30"/>
      <c r="O9" s="50"/>
      <c r="P9" s="30"/>
      <c r="Q9" s="50"/>
      <c r="R9" s="50"/>
      <c r="S9" s="50"/>
      <c r="T9" s="30"/>
      <c r="U9" s="9"/>
    </row>
    <row r="10" spans="1:32" x14ac:dyDescent="0.25">
      <c r="A10" s="75" t="s">
        <v>11</v>
      </c>
      <c r="B10" s="69" t="s">
        <v>4</v>
      </c>
      <c r="C10" s="70"/>
      <c r="D10" s="70"/>
      <c r="E10" s="71"/>
      <c r="F10" s="69" t="s">
        <v>5</v>
      </c>
      <c r="G10" s="70"/>
      <c r="H10" s="70"/>
      <c r="I10" s="71"/>
      <c r="J10" s="69" t="s">
        <v>6</v>
      </c>
      <c r="K10" s="70"/>
      <c r="L10" s="70"/>
      <c r="M10" s="71"/>
      <c r="N10" s="69" t="s">
        <v>7</v>
      </c>
      <c r="O10" s="70"/>
      <c r="P10" s="70"/>
      <c r="Q10" s="71"/>
      <c r="R10" s="69" t="s">
        <v>8</v>
      </c>
      <c r="S10" s="70"/>
      <c r="T10" s="70"/>
      <c r="U10" s="71"/>
    </row>
    <row r="11" spans="1:32" x14ac:dyDescent="0.25">
      <c r="A11" s="76"/>
      <c r="B11" s="2" t="s">
        <v>0</v>
      </c>
      <c r="C11" s="67" t="s">
        <v>1</v>
      </c>
      <c r="D11" s="28" t="s">
        <v>2</v>
      </c>
      <c r="E11" s="3" t="s">
        <v>3</v>
      </c>
      <c r="F11" s="39" t="s">
        <v>0</v>
      </c>
      <c r="G11" s="28" t="s">
        <v>1</v>
      </c>
      <c r="H11" s="28" t="s">
        <v>2</v>
      </c>
      <c r="I11" s="48" t="s">
        <v>3</v>
      </c>
      <c r="J11" s="2" t="s">
        <v>0</v>
      </c>
      <c r="K11" s="1" t="s">
        <v>1</v>
      </c>
      <c r="L11" s="1" t="s">
        <v>2</v>
      </c>
      <c r="M11" s="3" t="s">
        <v>3</v>
      </c>
      <c r="N11" s="39" t="s">
        <v>0</v>
      </c>
      <c r="O11" s="67" t="s">
        <v>1</v>
      </c>
      <c r="P11" s="28" t="s">
        <v>2</v>
      </c>
      <c r="Q11" s="48" t="s">
        <v>3</v>
      </c>
      <c r="R11" s="59" t="s">
        <v>0</v>
      </c>
      <c r="S11" s="67" t="s">
        <v>1</v>
      </c>
      <c r="T11" s="28" t="s">
        <v>2</v>
      </c>
      <c r="U11" s="3" t="s">
        <v>3</v>
      </c>
    </row>
    <row r="12" spans="1:32" x14ac:dyDescent="0.25">
      <c r="A12" s="1">
        <v>1</v>
      </c>
      <c r="B12" s="5">
        <v>4</v>
      </c>
      <c r="C12" s="49">
        <v>5</v>
      </c>
      <c r="D12" s="29">
        <v>4</v>
      </c>
      <c r="E12" s="6">
        <v>2</v>
      </c>
      <c r="F12" s="40">
        <v>5</v>
      </c>
      <c r="G12" s="29">
        <v>5</v>
      </c>
      <c r="H12" s="29">
        <v>4</v>
      </c>
      <c r="I12" s="49">
        <v>5</v>
      </c>
      <c r="J12" s="5">
        <v>5</v>
      </c>
      <c r="K12" s="6">
        <v>5</v>
      </c>
      <c r="L12" s="6">
        <v>5</v>
      </c>
      <c r="M12" s="6">
        <v>3</v>
      </c>
      <c r="N12" s="40">
        <v>4</v>
      </c>
      <c r="O12" s="49">
        <v>4</v>
      </c>
      <c r="P12" s="29">
        <v>4</v>
      </c>
      <c r="Q12" s="49">
        <v>3</v>
      </c>
      <c r="R12" s="60">
        <v>5</v>
      </c>
      <c r="S12" s="49">
        <v>4</v>
      </c>
      <c r="T12" s="29">
        <v>4</v>
      </c>
      <c r="U12" s="7">
        <v>3</v>
      </c>
    </row>
    <row r="13" spans="1:32" x14ac:dyDescent="0.25">
      <c r="A13" s="1">
        <v>2</v>
      </c>
      <c r="B13" s="8">
        <v>1</v>
      </c>
      <c r="C13" s="50">
        <v>3</v>
      </c>
      <c r="D13" s="30">
        <v>2</v>
      </c>
      <c r="E13" s="9">
        <v>2</v>
      </c>
      <c r="F13" s="41">
        <v>3</v>
      </c>
      <c r="G13" s="30">
        <v>4</v>
      </c>
      <c r="H13" s="30">
        <v>4</v>
      </c>
      <c r="I13" s="50">
        <v>3</v>
      </c>
      <c r="J13" s="8">
        <v>5</v>
      </c>
      <c r="K13" s="9">
        <v>5</v>
      </c>
      <c r="L13" s="9">
        <v>5</v>
      </c>
      <c r="M13" s="9">
        <v>4</v>
      </c>
      <c r="N13" s="41">
        <v>5</v>
      </c>
      <c r="O13" s="50">
        <v>3</v>
      </c>
      <c r="P13" s="30">
        <v>4</v>
      </c>
      <c r="Q13" s="50">
        <v>2</v>
      </c>
      <c r="R13" s="61">
        <v>4</v>
      </c>
      <c r="S13" s="50">
        <v>3</v>
      </c>
      <c r="T13" s="30">
        <v>4</v>
      </c>
      <c r="U13" s="10">
        <v>3</v>
      </c>
    </row>
    <row r="14" spans="1:32" x14ac:dyDescent="0.25">
      <c r="A14" s="1">
        <v>3</v>
      </c>
      <c r="B14" s="8">
        <v>5</v>
      </c>
      <c r="C14" s="50">
        <v>5</v>
      </c>
      <c r="D14" s="30">
        <v>5</v>
      </c>
      <c r="E14" s="9">
        <v>4</v>
      </c>
      <c r="F14" s="41">
        <v>5</v>
      </c>
      <c r="G14" s="30">
        <v>5</v>
      </c>
      <c r="H14" s="30">
        <v>5</v>
      </c>
      <c r="I14" s="50">
        <v>5</v>
      </c>
      <c r="J14" s="8">
        <v>4</v>
      </c>
      <c r="K14" s="9">
        <v>3</v>
      </c>
      <c r="L14" s="9">
        <v>4</v>
      </c>
      <c r="M14" s="9">
        <v>2</v>
      </c>
      <c r="N14" s="41">
        <v>5</v>
      </c>
      <c r="O14" s="50">
        <v>4</v>
      </c>
      <c r="P14" s="30">
        <v>4</v>
      </c>
      <c r="Q14" s="50">
        <v>4</v>
      </c>
      <c r="R14" s="61">
        <v>5</v>
      </c>
      <c r="S14" s="50">
        <v>5</v>
      </c>
      <c r="T14" s="30">
        <v>5</v>
      </c>
      <c r="U14" s="10">
        <v>5</v>
      </c>
    </row>
    <row r="15" spans="1:32" x14ac:dyDescent="0.25">
      <c r="A15" s="1">
        <v>4</v>
      </c>
      <c r="B15" s="8">
        <v>4</v>
      </c>
      <c r="C15" s="50">
        <v>4</v>
      </c>
      <c r="D15" s="30">
        <v>5</v>
      </c>
      <c r="E15" s="9">
        <v>2</v>
      </c>
      <c r="F15" s="41">
        <v>5</v>
      </c>
      <c r="G15" s="30">
        <v>5</v>
      </c>
      <c r="H15" s="30">
        <v>5</v>
      </c>
      <c r="I15" s="50">
        <v>5</v>
      </c>
      <c r="J15" s="8">
        <v>4</v>
      </c>
      <c r="K15" s="9">
        <v>5</v>
      </c>
      <c r="L15" s="9">
        <v>4</v>
      </c>
      <c r="M15" s="9">
        <v>3</v>
      </c>
      <c r="N15" s="41">
        <v>4</v>
      </c>
      <c r="O15" s="50">
        <v>5</v>
      </c>
      <c r="P15" s="30">
        <v>4</v>
      </c>
      <c r="Q15" s="50">
        <v>3</v>
      </c>
      <c r="R15" s="61">
        <v>4</v>
      </c>
      <c r="S15" s="50">
        <v>4</v>
      </c>
      <c r="T15" s="30">
        <v>4</v>
      </c>
      <c r="U15" s="10">
        <v>3</v>
      </c>
    </row>
    <row r="16" spans="1:32" x14ac:dyDescent="0.25">
      <c r="A16" s="1">
        <v>5</v>
      </c>
      <c r="B16" s="11">
        <v>2</v>
      </c>
      <c r="C16" s="51">
        <v>2</v>
      </c>
      <c r="D16" s="31">
        <v>3</v>
      </c>
      <c r="E16" s="12">
        <v>1</v>
      </c>
      <c r="F16" s="42">
        <v>2</v>
      </c>
      <c r="G16" s="31">
        <v>2</v>
      </c>
      <c r="H16" s="31">
        <v>3</v>
      </c>
      <c r="I16" s="51">
        <v>1</v>
      </c>
      <c r="J16" s="11">
        <v>4</v>
      </c>
      <c r="K16" s="12">
        <v>4</v>
      </c>
      <c r="L16" s="12">
        <v>4</v>
      </c>
      <c r="M16" s="12">
        <v>3</v>
      </c>
      <c r="N16" s="42">
        <v>3</v>
      </c>
      <c r="O16" s="51">
        <v>3</v>
      </c>
      <c r="P16" s="31">
        <v>4</v>
      </c>
      <c r="Q16" s="51">
        <v>2</v>
      </c>
      <c r="R16" s="62">
        <v>4</v>
      </c>
      <c r="S16" s="51">
        <v>2</v>
      </c>
      <c r="T16" s="31">
        <v>4</v>
      </c>
      <c r="U16" s="13">
        <v>1</v>
      </c>
    </row>
    <row r="17" spans="1:21" x14ac:dyDescent="0.25">
      <c r="A17" s="1" t="s">
        <v>9</v>
      </c>
      <c r="B17" s="17">
        <f>SUM(B12:B16)</f>
        <v>16</v>
      </c>
      <c r="C17" s="52">
        <f t="shared" ref="C17:U17" si="1">SUM(C12:C16)</f>
        <v>19</v>
      </c>
      <c r="D17" s="32">
        <f t="shared" si="1"/>
        <v>19</v>
      </c>
      <c r="E17" s="17">
        <f t="shared" si="1"/>
        <v>11</v>
      </c>
      <c r="F17" s="32">
        <f t="shared" si="1"/>
        <v>20</v>
      </c>
      <c r="G17" s="32">
        <f t="shared" si="1"/>
        <v>21</v>
      </c>
      <c r="H17" s="32">
        <f t="shared" si="1"/>
        <v>21</v>
      </c>
      <c r="I17" s="52">
        <f t="shared" si="1"/>
        <v>19</v>
      </c>
      <c r="J17" s="17">
        <f t="shared" si="1"/>
        <v>22</v>
      </c>
      <c r="K17" s="17">
        <f t="shared" si="1"/>
        <v>22</v>
      </c>
      <c r="L17" s="17">
        <f t="shared" si="1"/>
        <v>22</v>
      </c>
      <c r="M17" s="17">
        <f t="shared" si="1"/>
        <v>15</v>
      </c>
      <c r="N17" s="32">
        <f t="shared" si="1"/>
        <v>21</v>
      </c>
      <c r="O17" s="52">
        <f t="shared" si="1"/>
        <v>19</v>
      </c>
      <c r="P17" s="32">
        <f t="shared" si="1"/>
        <v>20</v>
      </c>
      <c r="Q17" s="52">
        <f t="shared" si="1"/>
        <v>14</v>
      </c>
      <c r="R17" s="52">
        <f t="shared" si="1"/>
        <v>22</v>
      </c>
      <c r="S17" s="52">
        <f t="shared" si="1"/>
        <v>18</v>
      </c>
      <c r="T17" s="32">
        <f t="shared" si="1"/>
        <v>21</v>
      </c>
      <c r="U17" s="17">
        <f t="shared" si="1"/>
        <v>15</v>
      </c>
    </row>
    <row r="18" spans="1:21" x14ac:dyDescent="0.25">
      <c r="B18" s="9"/>
      <c r="C18" s="50"/>
      <c r="D18" s="30"/>
      <c r="E18" s="9"/>
      <c r="F18" s="30"/>
      <c r="G18" s="30"/>
      <c r="H18" s="30"/>
      <c r="I18" s="50"/>
      <c r="J18" s="9"/>
      <c r="K18" s="9"/>
      <c r="L18" s="9"/>
      <c r="M18" s="9"/>
      <c r="N18" s="30"/>
      <c r="O18" s="50"/>
      <c r="P18" s="30"/>
      <c r="Q18" s="50"/>
      <c r="R18" s="50"/>
      <c r="S18" s="50"/>
      <c r="T18" s="30"/>
      <c r="U18" s="9"/>
    </row>
    <row r="19" spans="1:21" x14ac:dyDescent="0.25">
      <c r="A19" s="75" t="s">
        <v>16</v>
      </c>
      <c r="B19" s="69" t="s">
        <v>4</v>
      </c>
      <c r="C19" s="70"/>
      <c r="D19" s="70"/>
      <c r="E19" s="71"/>
      <c r="F19" s="69" t="s">
        <v>5</v>
      </c>
      <c r="G19" s="70"/>
      <c r="H19" s="70"/>
      <c r="I19" s="71"/>
      <c r="J19" s="69" t="s">
        <v>6</v>
      </c>
      <c r="K19" s="70"/>
      <c r="L19" s="70"/>
      <c r="M19" s="71"/>
      <c r="N19" s="69" t="s">
        <v>7</v>
      </c>
      <c r="O19" s="70"/>
      <c r="P19" s="70"/>
      <c r="Q19" s="71"/>
      <c r="R19" s="69" t="s">
        <v>8</v>
      </c>
      <c r="S19" s="70"/>
      <c r="T19" s="70"/>
      <c r="U19" s="71"/>
    </row>
    <row r="20" spans="1:21" x14ac:dyDescent="0.25">
      <c r="A20" s="76"/>
      <c r="B20" s="2" t="s">
        <v>0</v>
      </c>
      <c r="C20" s="67" t="s">
        <v>1</v>
      </c>
      <c r="D20" s="28" t="s">
        <v>2</v>
      </c>
      <c r="E20" s="3" t="s">
        <v>3</v>
      </c>
      <c r="F20" s="39" t="s">
        <v>0</v>
      </c>
      <c r="G20" s="28" t="s">
        <v>1</v>
      </c>
      <c r="H20" s="28" t="s">
        <v>2</v>
      </c>
      <c r="I20" s="48" t="s">
        <v>3</v>
      </c>
      <c r="J20" s="2" t="s">
        <v>0</v>
      </c>
      <c r="K20" s="1" t="s">
        <v>1</v>
      </c>
      <c r="L20" s="1" t="s">
        <v>2</v>
      </c>
      <c r="M20" s="3" t="s">
        <v>3</v>
      </c>
      <c r="N20" s="39" t="s">
        <v>0</v>
      </c>
      <c r="O20" s="67" t="s">
        <v>1</v>
      </c>
      <c r="P20" s="28" t="s">
        <v>2</v>
      </c>
      <c r="Q20" s="48" t="s">
        <v>3</v>
      </c>
      <c r="R20" s="59" t="s">
        <v>0</v>
      </c>
      <c r="S20" s="67" t="s">
        <v>1</v>
      </c>
      <c r="T20" s="28" t="s">
        <v>2</v>
      </c>
      <c r="U20" s="16" t="s">
        <v>3</v>
      </c>
    </row>
    <row r="21" spans="1:21" x14ac:dyDescent="0.25">
      <c r="A21" s="1">
        <v>1</v>
      </c>
      <c r="B21" s="5" t="s">
        <v>19</v>
      </c>
      <c r="C21" s="49">
        <v>4</v>
      </c>
      <c r="D21" s="29">
        <v>2</v>
      </c>
      <c r="E21" s="6">
        <v>2</v>
      </c>
      <c r="F21" s="40">
        <v>3</v>
      </c>
      <c r="G21" s="29">
        <v>5</v>
      </c>
      <c r="H21" s="29">
        <v>2</v>
      </c>
      <c r="I21" s="49">
        <v>5</v>
      </c>
      <c r="J21" s="5">
        <v>4</v>
      </c>
      <c r="K21" s="6">
        <v>4</v>
      </c>
      <c r="L21" s="6">
        <v>2</v>
      </c>
      <c r="M21" s="6">
        <v>2</v>
      </c>
      <c r="N21" s="40">
        <v>4</v>
      </c>
      <c r="O21" s="49">
        <v>4</v>
      </c>
      <c r="P21" s="29">
        <v>2</v>
      </c>
      <c r="Q21" s="49">
        <v>4</v>
      </c>
      <c r="R21" s="60">
        <v>3</v>
      </c>
      <c r="S21" s="49">
        <v>5</v>
      </c>
      <c r="T21" s="29">
        <v>1</v>
      </c>
      <c r="U21" s="7" t="s">
        <v>19</v>
      </c>
    </row>
    <row r="22" spans="1:21" x14ac:dyDescent="0.25">
      <c r="A22" s="1">
        <v>2</v>
      </c>
      <c r="B22" s="8" t="s">
        <v>19</v>
      </c>
      <c r="C22" s="50">
        <v>5</v>
      </c>
      <c r="D22" s="30">
        <v>4</v>
      </c>
      <c r="E22" s="9">
        <v>3</v>
      </c>
      <c r="F22" s="41">
        <v>5</v>
      </c>
      <c r="G22" s="30">
        <v>4</v>
      </c>
      <c r="H22" s="30">
        <v>5</v>
      </c>
      <c r="I22" s="50">
        <v>3</v>
      </c>
      <c r="J22" s="8">
        <v>5</v>
      </c>
      <c r="K22" s="9">
        <v>5</v>
      </c>
      <c r="L22" s="9">
        <v>5</v>
      </c>
      <c r="M22" s="9">
        <v>3</v>
      </c>
      <c r="N22" s="41">
        <v>5</v>
      </c>
      <c r="O22" s="50">
        <v>5</v>
      </c>
      <c r="P22" s="30">
        <v>4</v>
      </c>
      <c r="Q22" s="50">
        <v>3</v>
      </c>
      <c r="R22" s="61">
        <v>4</v>
      </c>
      <c r="S22" s="50">
        <v>5</v>
      </c>
      <c r="T22" s="30">
        <v>5</v>
      </c>
      <c r="U22" s="10" t="s">
        <v>19</v>
      </c>
    </row>
    <row r="23" spans="1:21" x14ac:dyDescent="0.25">
      <c r="A23" s="1">
        <v>3</v>
      </c>
      <c r="B23" s="8" t="s">
        <v>19</v>
      </c>
      <c r="C23" s="50">
        <v>5</v>
      </c>
      <c r="D23" s="30">
        <v>4</v>
      </c>
      <c r="E23" s="9">
        <v>4</v>
      </c>
      <c r="F23" s="41">
        <v>5</v>
      </c>
      <c r="G23" s="30">
        <v>5</v>
      </c>
      <c r="H23" s="30">
        <v>5</v>
      </c>
      <c r="I23" s="50">
        <v>4</v>
      </c>
      <c r="J23" s="8">
        <v>4</v>
      </c>
      <c r="K23" s="9">
        <v>4</v>
      </c>
      <c r="L23" s="9">
        <v>5</v>
      </c>
      <c r="M23" s="9">
        <v>4</v>
      </c>
      <c r="N23" s="41">
        <v>5</v>
      </c>
      <c r="O23" s="50">
        <v>5</v>
      </c>
      <c r="P23" s="30">
        <v>5</v>
      </c>
      <c r="Q23" s="50">
        <v>4</v>
      </c>
      <c r="R23" s="61">
        <v>4</v>
      </c>
      <c r="S23" s="50">
        <v>5</v>
      </c>
      <c r="T23" s="30">
        <v>4</v>
      </c>
      <c r="U23" s="10" t="s">
        <v>19</v>
      </c>
    </row>
    <row r="24" spans="1:21" x14ac:dyDescent="0.25">
      <c r="A24" s="1">
        <v>4</v>
      </c>
      <c r="B24" s="8" t="s">
        <v>19</v>
      </c>
      <c r="C24" s="50">
        <v>5</v>
      </c>
      <c r="D24" s="30">
        <v>5</v>
      </c>
      <c r="E24" s="9">
        <v>1</v>
      </c>
      <c r="F24" s="41">
        <v>3</v>
      </c>
      <c r="G24" s="30">
        <v>4</v>
      </c>
      <c r="H24" s="30">
        <v>4</v>
      </c>
      <c r="I24" s="50">
        <v>4</v>
      </c>
      <c r="J24" s="8">
        <v>4</v>
      </c>
      <c r="K24" s="9">
        <v>5</v>
      </c>
      <c r="L24" s="9">
        <v>4</v>
      </c>
      <c r="M24" s="9">
        <v>2</v>
      </c>
      <c r="N24" s="41">
        <v>4</v>
      </c>
      <c r="O24" s="50">
        <v>5</v>
      </c>
      <c r="P24" s="30">
        <v>4</v>
      </c>
      <c r="Q24" s="50">
        <v>2</v>
      </c>
      <c r="R24" s="61">
        <v>4</v>
      </c>
      <c r="S24" s="50">
        <v>4</v>
      </c>
      <c r="T24" s="30">
        <v>5</v>
      </c>
      <c r="U24" s="10" t="s">
        <v>19</v>
      </c>
    </row>
    <row r="25" spans="1:21" x14ac:dyDescent="0.25">
      <c r="A25" s="1">
        <v>5</v>
      </c>
      <c r="B25" s="11" t="s">
        <v>19</v>
      </c>
      <c r="C25" s="51">
        <v>5</v>
      </c>
      <c r="D25" s="31">
        <v>5</v>
      </c>
      <c r="E25" s="12">
        <v>1</v>
      </c>
      <c r="F25" s="42">
        <v>5</v>
      </c>
      <c r="G25" s="31">
        <v>5</v>
      </c>
      <c r="H25" s="31">
        <v>5</v>
      </c>
      <c r="I25" s="51">
        <v>1</v>
      </c>
      <c r="J25" s="11">
        <v>5</v>
      </c>
      <c r="K25" s="12">
        <v>5</v>
      </c>
      <c r="L25" s="12">
        <v>5</v>
      </c>
      <c r="M25" s="12">
        <v>2</v>
      </c>
      <c r="N25" s="42">
        <v>5</v>
      </c>
      <c r="O25" s="51">
        <v>4</v>
      </c>
      <c r="P25" s="31">
        <v>5</v>
      </c>
      <c r="Q25" s="51">
        <v>1</v>
      </c>
      <c r="R25" s="62">
        <v>3</v>
      </c>
      <c r="S25" s="51">
        <v>4</v>
      </c>
      <c r="T25" s="31">
        <v>3</v>
      </c>
      <c r="U25" s="13" t="s">
        <v>19</v>
      </c>
    </row>
    <row r="26" spans="1:21" x14ac:dyDescent="0.25">
      <c r="A26" s="1" t="s">
        <v>9</v>
      </c>
      <c r="B26" s="46">
        <v>18</v>
      </c>
      <c r="C26" s="52">
        <f t="shared" ref="C26:T26" si="2">SUM(C21:C25)</f>
        <v>24</v>
      </c>
      <c r="D26" s="32">
        <f t="shared" si="2"/>
        <v>20</v>
      </c>
      <c r="E26" s="17">
        <f t="shared" si="2"/>
        <v>11</v>
      </c>
      <c r="F26" s="32">
        <f t="shared" si="2"/>
        <v>21</v>
      </c>
      <c r="G26" s="32">
        <f t="shared" si="2"/>
        <v>23</v>
      </c>
      <c r="H26" s="32">
        <f t="shared" si="2"/>
        <v>21</v>
      </c>
      <c r="I26" s="52">
        <f t="shared" si="2"/>
        <v>17</v>
      </c>
      <c r="J26" s="17">
        <f t="shared" si="2"/>
        <v>22</v>
      </c>
      <c r="K26" s="17">
        <f t="shared" si="2"/>
        <v>23</v>
      </c>
      <c r="L26" s="17">
        <f t="shared" si="2"/>
        <v>21</v>
      </c>
      <c r="M26" s="17">
        <f t="shared" si="2"/>
        <v>13</v>
      </c>
      <c r="N26" s="32">
        <f t="shared" si="2"/>
        <v>23</v>
      </c>
      <c r="O26" s="52">
        <f t="shared" si="2"/>
        <v>23</v>
      </c>
      <c r="P26" s="32">
        <f t="shared" si="2"/>
        <v>20</v>
      </c>
      <c r="Q26" s="52">
        <f t="shared" si="2"/>
        <v>14</v>
      </c>
      <c r="R26" s="52">
        <f t="shared" si="2"/>
        <v>18</v>
      </c>
      <c r="S26" s="52">
        <f t="shared" si="2"/>
        <v>23</v>
      </c>
      <c r="T26" s="32">
        <f t="shared" si="2"/>
        <v>18</v>
      </c>
      <c r="U26" s="46">
        <v>15</v>
      </c>
    </row>
    <row r="27" spans="1:21" x14ac:dyDescent="0.25">
      <c r="B27" s="9"/>
      <c r="C27" s="50"/>
      <c r="D27" s="30"/>
      <c r="E27" s="9"/>
      <c r="F27" s="30"/>
      <c r="G27" s="30"/>
      <c r="H27" s="30"/>
      <c r="I27" s="50"/>
      <c r="J27" s="9"/>
      <c r="K27" s="9"/>
      <c r="L27" s="9"/>
      <c r="M27" s="9"/>
      <c r="N27" s="30"/>
      <c r="O27" s="50"/>
      <c r="P27" s="30"/>
      <c r="Q27" s="50"/>
      <c r="R27" s="50"/>
      <c r="S27" s="50"/>
      <c r="T27" s="30"/>
      <c r="U27" s="9"/>
    </row>
    <row r="28" spans="1:21" x14ac:dyDescent="0.25">
      <c r="A28" s="77" t="s">
        <v>18</v>
      </c>
      <c r="B28" s="79" t="s">
        <v>4</v>
      </c>
      <c r="C28" s="73"/>
      <c r="D28" s="73"/>
      <c r="E28" s="74"/>
      <c r="F28" s="72" t="s">
        <v>5</v>
      </c>
      <c r="G28" s="73"/>
      <c r="H28" s="73"/>
      <c r="I28" s="74"/>
      <c r="J28" s="72" t="s">
        <v>6</v>
      </c>
      <c r="K28" s="73"/>
      <c r="L28" s="73"/>
      <c r="M28" s="74"/>
      <c r="N28" s="72" t="s">
        <v>7</v>
      </c>
      <c r="O28" s="73"/>
      <c r="P28" s="73"/>
      <c r="Q28" s="74"/>
      <c r="R28" s="72" t="s">
        <v>8</v>
      </c>
      <c r="S28" s="73"/>
      <c r="T28" s="73"/>
      <c r="U28" s="74"/>
    </row>
    <row r="29" spans="1:21" x14ac:dyDescent="0.25">
      <c r="A29" s="78"/>
      <c r="B29" s="14" t="s">
        <v>0</v>
      </c>
      <c r="C29" s="63" t="s">
        <v>1</v>
      </c>
      <c r="D29" s="33" t="s">
        <v>17</v>
      </c>
      <c r="E29" s="15" t="s">
        <v>3</v>
      </c>
      <c r="F29" s="33" t="s">
        <v>0</v>
      </c>
      <c r="G29" s="33" t="s">
        <v>1</v>
      </c>
      <c r="H29" s="33" t="s">
        <v>17</v>
      </c>
      <c r="I29" s="53" t="s">
        <v>3</v>
      </c>
      <c r="J29" s="14" t="s">
        <v>0</v>
      </c>
      <c r="K29" s="14" t="s">
        <v>1</v>
      </c>
      <c r="L29" s="14" t="s">
        <v>17</v>
      </c>
      <c r="M29" s="15" t="s">
        <v>3</v>
      </c>
      <c r="N29" s="33" t="s">
        <v>0</v>
      </c>
      <c r="O29" s="63" t="s">
        <v>1</v>
      </c>
      <c r="P29" s="33" t="s">
        <v>17</v>
      </c>
      <c r="Q29" s="53" t="s">
        <v>3</v>
      </c>
      <c r="R29" s="63" t="s">
        <v>0</v>
      </c>
      <c r="S29" s="63" t="s">
        <v>1</v>
      </c>
      <c r="T29" s="33" t="s">
        <v>17</v>
      </c>
      <c r="U29" s="15" t="s">
        <v>3</v>
      </c>
    </row>
    <row r="30" spans="1:21" x14ac:dyDescent="0.25">
      <c r="A30" s="14">
        <v>1</v>
      </c>
      <c r="B30" s="18">
        <v>4</v>
      </c>
      <c r="C30" s="54">
        <v>4</v>
      </c>
      <c r="D30" s="34">
        <v>3</v>
      </c>
      <c r="E30" s="19">
        <v>2</v>
      </c>
      <c r="F30" s="43">
        <v>5</v>
      </c>
      <c r="G30" s="34">
        <v>5</v>
      </c>
      <c r="H30" s="34">
        <v>4</v>
      </c>
      <c r="I30" s="54">
        <v>5</v>
      </c>
      <c r="J30" s="19" t="s">
        <v>19</v>
      </c>
      <c r="K30" s="19" t="s">
        <v>19</v>
      </c>
      <c r="L30" s="19" t="s">
        <v>19</v>
      </c>
      <c r="M30" s="19">
        <v>2</v>
      </c>
      <c r="N30" s="43">
        <v>3</v>
      </c>
      <c r="O30" s="54">
        <v>4</v>
      </c>
      <c r="P30" s="34">
        <v>3</v>
      </c>
      <c r="Q30" s="54">
        <v>3</v>
      </c>
      <c r="R30" s="64">
        <v>3</v>
      </c>
      <c r="S30" s="54">
        <v>3</v>
      </c>
      <c r="T30" s="34">
        <v>4</v>
      </c>
      <c r="U30" s="20">
        <v>2</v>
      </c>
    </row>
    <row r="31" spans="1:21" x14ac:dyDescent="0.25">
      <c r="A31" s="14">
        <v>2</v>
      </c>
      <c r="B31" s="21">
        <v>4</v>
      </c>
      <c r="C31" s="55">
        <v>3</v>
      </c>
      <c r="D31" s="35">
        <v>3</v>
      </c>
      <c r="E31" s="22">
        <v>3</v>
      </c>
      <c r="F31" s="44">
        <v>5</v>
      </c>
      <c r="G31" s="35">
        <v>5</v>
      </c>
      <c r="H31" s="35">
        <v>5</v>
      </c>
      <c r="I31" s="55">
        <v>5</v>
      </c>
      <c r="J31" s="22" t="s">
        <v>19</v>
      </c>
      <c r="K31" s="22" t="s">
        <v>19</v>
      </c>
      <c r="L31" s="22" t="s">
        <v>19</v>
      </c>
      <c r="M31" s="22">
        <v>3</v>
      </c>
      <c r="N31" s="44">
        <v>4</v>
      </c>
      <c r="O31" s="55">
        <v>4</v>
      </c>
      <c r="P31" s="35">
        <v>4</v>
      </c>
      <c r="Q31" s="55">
        <v>3</v>
      </c>
      <c r="R31" s="65">
        <v>3</v>
      </c>
      <c r="S31" s="55">
        <v>3</v>
      </c>
      <c r="T31" s="35">
        <v>3</v>
      </c>
      <c r="U31" s="23">
        <v>2</v>
      </c>
    </row>
    <row r="32" spans="1:21" x14ac:dyDescent="0.25">
      <c r="A32" s="14">
        <v>3</v>
      </c>
      <c r="B32" s="21">
        <v>3</v>
      </c>
      <c r="C32" s="55">
        <v>3</v>
      </c>
      <c r="D32" s="35">
        <v>5</v>
      </c>
      <c r="E32" s="22">
        <v>3</v>
      </c>
      <c r="F32" s="44">
        <v>5</v>
      </c>
      <c r="G32" s="35">
        <v>5</v>
      </c>
      <c r="H32" s="35">
        <v>5</v>
      </c>
      <c r="I32" s="55">
        <v>5</v>
      </c>
      <c r="J32" s="22" t="s">
        <v>19</v>
      </c>
      <c r="K32" s="22" t="s">
        <v>19</v>
      </c>
      <c r="L32" s="22" t="s">
        <v>19</v>
      </c>
      <c r="M32" s="22">
        <v>3</v>
      </c>
      <c r="N32" s="44">
        <v>5</v>
      </c>
      <c r="O32" s="55">
        <v>4</v>
      </c>
      <c r="P32" s="35">
        <v>5</v>
      </c>
      <c r="Q32" s="55">
        <v>4</v>
      </c>
      <c r="R32" s="65">
        <v>5</v>
      </c>
      <c r="S32" s="55">
        <v>4</v>
      </c>
      <c r="T32" s="35">
        <v>5</v>
      </c>
      <c r="U32" s="23">
        <v>4</v>
      </c>
    </row>
    <row r="33" spans="1:21" x14ac:dyDescent="0.25">
      <c r="A33" s="14">
        <v>4</v>
      </c>
      <c r="B33" s="21">
        <v>4</v>
      </c>
      <c r="C33" s="55">
        <v>5</v>
      </c>
      <c r="D33" s="35">
        <v>4</v>
      </c>
      <c r="E33" s="22">
        <v>3</v>
      </c>
      <c r="F33" s="44">
        <v>3</v>
      </c>
      <c r="G33" s="35">
        <v>4</v>
      </c>
      <c r="H33" s="35">
        <v>3</v>
      </c>
      <c r="I33" s="55">
        <v>5</v>
      </c>
      <c r="J33" s="22" t="s">
        <v>19</v>
      </c>
      <c r="K33" s="22" t="s">
        <v>19</v>
      </c>
      <c r="L33" s="22" t="s">
        <v>19</v>
      </c>
      <c r="M33" s="22">
        <v>3</v>
      </c>
      <c r="N33" s="44">
        <v>4</v>
      </c>
      <c r="O33" s="55">
        <v>4</v>
      </c>
      <c r="P33" s="35">
        <v>5</v>
      </c>
      <c r="Q33" s="55">
        <v>3</v>
      </c>
      <c r="R33" s="65">
        <v>4</v>
      </c>
      <c r="S33" s="55">
        <v>5</v>
      </c>
      <c r="T33" s="35">
        <v>4</v>
      </c>
      <c r="U33" s="23">
        <v>3</v>
      </c>
    </row>
    <row r="34" spans="1:21" x14ac:dyDescent="0.25">
      <c r="A34" s="14">
        <v>5</v>
      </c>
      <c r="B34" s="24">
        <v>3</v>
      </c>
      <c r="C34" s="56">
        <v>4</v>
      </c>
      <c r="D34" s="36">
        <v>4</v>
      </c>
      <c r="E34" s="25">
        <v>3</v>
      </c>
      <c r="F34" s="45">
        <v>5</v>
      </c>
      <c r="G34" s="36">
        <v>5</v>
      </c>
      <c r="H34" s="36">
        <v>5</v>
      </c>
      <c r="I34" s="56">
        <v>5</v>
      </c>
      <c r="J34" s="25" t="s">
        <v>19</v>
      </c>
      <c r="K34" s="25" t="s">
        <v>19</v>
      </c>
      <c r="L34" s="25" t="s">
        <v>19</v>
      </c>
      <c r="M34" s="25">
        <v>3</v>
      </c>
      <c r="N34" s="45">
        <v>4</v>
      </c>
      <c r="O34" s="56">
        <v>4</v>
      </c>
      <c r="P34" s="36">
        <v>4</v>
      </c>
      <c r="Q34" s="56">
        <v>4</v>
      </c>
      <c r="R34" s="66">
        <v>3</v>
      </c>
      <c r="S34" s="56">
        <v>4</v>
      </c>
      <c r="T34" s="36">
        <v>4</v>
      </c>
      <c r="U34" s="26">
        <v>3</v>
      </c>
    </row>
    <row r="35" spans="1:21" x14ac:dyDescent="0.25">
      <c r="A35" s="14" t="s">
        <v>9</v>
      </c>
      <c r="B35" s="27">
        <f>SUM(B30:B34)</f>
        <v>18</v>
      </c>
      <c r="C35" s="57">
        <f t="shared" ref="C35:U35" si="3">SUM(C30:C34)</f>
        <v>19</v>
      </c>
      <c r="D35" s="37">
        <f t="shared" si="3"/>
        <v>19</v>
      </c>
      <c r="E35" s="27">
        <f t="shared" si="3"/>
        <v>14</v>
      </c>
      <c r="F35" s="37">
        <f t="shared" si="3"/>
        <v>23</v>
      </c>
      <c r="G35" s="37">
        <f t="shared" si="3"/>
        <v>24</v>
      </c>
      <c r="H35" s="37">
        <f t="shared" si="3"/>
        <v>22</v>
      </c>
      <c r="I35" s="57">
        <f t="shared" si="3"/>
        <v>25</v>
      </c>
      <c r="J35" s="47">
        <v>22</v>
      </c>
      <c r="K35" s="47">
        <v>23</v>
      </c>
      <c r="L35" s="47">
        <v>21</v>
      </c>
      <c r="M35" s="27">
        <f t="shared" si="3"/>
        <v>14</v>
      </c>
      <c r="N35" s="37">
        <f t="shared" si="3"/>
        <v>20</v>
      </c>
      <c r="O35" s="57">
        <f t="shared" si="3"/>
        <v>20</v>
      </c>
      <c r="P35" s="37">
        <f t="shared" si="3"/>
        <v>21</v>
      </c>
      <c r="Q35" s="57">
        <f t="shared" si="3"/>
        <v>17</v>
      </c>
      <c r="R35" s="57">
        <f t="shared" si="3"/>
        <v>18</v>
      </c>
      <c r="S35" s="57">
        <f t="shared" si="3"/>
        <v>19</v>
      </c>
      <c r="T35" s="37">
        <f t="shared" si="3"/>
        <v>20</v>
      </c>
      <c r="U35" s="27">
        <f t="shared" si="3"/>
        <v>14</v>
      </c>
    </row>
    <row r="36" spans="1:21" x14ac:dyDescent="0.25">
      <c r="C36" s="58"/>
      <c r="D36" s="38"/>
      <c r="F36" s="38"/>
      <c r="G36" s="38"/>
      <c r="H36" s="38"/>
      <c r="I36" s="58"/>
      <c r="N36" s="38"/>
      <c r="O36" s="58"/>
      <c r="P36" s="38"/>
      <c r="Q36" s="58"/>
      <c r="R36" s="58"/>
      <c r="S36" s="58"/>
      <c r="T36" s="38"/>
    </row>
    <row r="37" spans="1:21" x14ac:dyDescent="0.25">
      <c r="C37" s="58"/>
      <c r="D37" s="38"/>
      <c r="F37" s="38"/>
      <c r="G37" s="38"/>
      <c r="H37" s="38"/>
      <c r="I37" s="58"/>
      <c r="N37" s="38"/>
      <c r="O37" s="58"/>
      <c r="P37" s="38"/>
      <c r="Q37" s="58"/>
      <c r="R37" s="58"/>
      <c r="S37" s="58"/>
      <c r="T37" s="38"/>
    </row>
    <row r="38" spans="1:21" x14ac:dyDescent="0.25">
      <c r="B38" s="9">
        <f>(SUM(B8,B17,B26,B35)/20)</f>
        <v>3.55</v>
      </c>
      <c r="C38" s="50">
        <f t="shared" ref="C38:U38" si="4">(SUM(C8,C17,C26,C35)/20)</f>
        <v>4.3499999999999996</v>
      </c>
      <c r="D38" s="30">
        <f t="shared" si="4"/>
        <v>3.85</v>
      </c>
      <c r="E38" s="9">
        <f t="shared" si="4"/>
        <v>2.4</v>
      </c>
      <c r="F38" s="30">
        <f t="shared" si="4"/>
        <v>4.3</v>
      </c>
      <c r="G38" s="30">
        <f t="shared" si="4"/>
        <v>4.6500000000000004</v>
      </c>
      <c r="H38" s="30">
        <f t="shared" si="4"/>
        <v>4.2</v>
      </c>
      <c r="I38" s="50">
        <f t="shared" si="4"/>
        <v>4.1500000000000004</v>
      </c>
      <c r="J38" s="9">
        <f t="shared" si="4"/>
        <v>4.4000000000000004</v>
      </c>
      <c r="K38" s="9">
        <f t="shared" si="4"/>
        <v>4.5999999999999996</v>
      </c>
      <c r="L38" s="9">
        <f t="shared" si="4"/>
        <v>4.25</v>
      </c>
      <c r="M38" s="9">
        <f t="shared" si="4"/>
        <v>2.8</v>
      </c>
      <c r="N38" s="30">
        <f t="shared" si="4"/>
        <v>4.3</v>
      </c>
      <c r="O38" s="50">
        <f t="shared" si="4"/>
        <v>4.3499999999999996</v>
      </c>
      <c r="P38" s="30">
        <f t="shared" si="4"/>
        <v>4</v>
      </c>
      <c r="Q38" s="50">
        <f t="shared" si="4"/>
        <v>3.1</v>
      </c>
      <c r="R38" s="50">
        <f t="shared" si="4"/>
        <v>3.95</v>
      </c>
      <c r="S38" s="50">
        <f t="shared" si="4"/>
        <v>4.25</v>
      </c>
      <c r="T38" s="30">
        <f t="shared" si="4"/>
        <v>3.95</v>
      </c>
      <c r="U38" s="9">
        <f t="shared" si="4"/>
        <v>3</v>
      </c>
    </row>
  </sheetData>
  <mergeCells count="25">
    <mergeCell ref="J10:M10"/>
    <mergeCell ref="N10:Q10"/>
    <mergeCell ref="R10:U10"/>
    <mergeCell ref="A1:A2"/>
    <mergeCell ref="B1:E1"/>
    <mergeCell ref="F1:I1"/>
    <mergeCell ref="J1:M1"/>
    <mergeCell ref="N1:Q1"/>
    <mergeCell ref="R1:U1"/>
    <mergeCell ref="W2:Y4"/>
    <mergeCell ref="A28:A29"/>
    <mergeCell ref="B28:E28"/>
    <mergeCell ref="F28:I28"/>
    <mergeCell ref="J28:M28"/>
    <mergeCell ref="N28:Q28"/>
    <mergeCell ref="R28:U28"/>
    <mergeCell ref="A19:A20"/>
    <mergeCell ref="B19:E19"/>
    <mergeCell ref="F19:I19"/>
    <mergeCell ref="J19:M19"/>
    <mergeCell ref="N19:Q19"/>
    <mergeCell ref="R19:U19"/>
    <mergeCell ref="A10:A11"/>
    <mergeCell ref="B10:E10"/>
    <mergeCell ref="F10:I10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Albino</dc:creator>
  <cp:lastModifiedBy>Gabriel Albino</cp:lastModifiedBy>
  <dcterms:created xsi:type="dcterms:W3CDTF">2025-10-26T17:26:36Z</dcterms:created>
  <dcterms:modified xsi:type="dcterms:W3CDTF">2025-11-02T20:30:25Z</dcterms:modified>
</cp:coreProperties>
</file>